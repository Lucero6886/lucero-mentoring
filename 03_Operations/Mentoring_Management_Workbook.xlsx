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EEE Projects\03_Operations\"/>
    </mc:Choice>
  </mc:AlternateContent>
  <xr:revisionPtr revIDLastSave="0" documentId="8_{6A10F22A-D427-4822-B29D-B387C42D9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folio" sheetId="1" r:id="rId1"/>
    <sheet name="Students" sheetId="2" r:id="rId2"/>
    <sheet name="Readiness" sheetId="3" r:id="rId3"/>
    <sheet name="Weekly_Status" sheetId="4" r:id="rId4"/>
    <sheet name="Milestones" sheetId="5" r:id="rId5"/>
    <sheet name="Rubrics" sheetId="6" r:id="rId6"/>
    <sheet name="Dashboard" sheetId="7" r:id="rId7"/>
    <sheet name="Instructions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7" i="7"/>
  <c r="B6" i="7"/>
  <c r="B5" i="7"/>
  <c r="B4" i="7"/>
  <c r="AE101" i="3"/>
  <c r="Y101" i="3"/>
  <c r="S101" i="3"/>
  <c r="AE100" i="3"/>
  <c r="Y100" i="3"/>
  <c r="S100" i="3"/>
  <c r="AE99" i="3"/>
  <c r="Y99" i="3"/>
  <c r="S99" i="3"/>
  <c r="AE98" i="3"/>
  <c r="Y98" i="3"/>
  <c r="S98" i="3"/>
  <c r="AE97" i="3"/>
  <c r="Y97" i="3"/>
  <c r="S97" i="3"/>
  <c r="AE96" i="3"/>
  <c r="Y96" i="3"/>
  <c r="S96" i="3"/>
  <c r="AE95" i="3"/>
  <c r="Y95" i="3"/>
  <c r="S95" i="3"/>
  <c r="AE94" i="3"/>
  <c r="Y94" i="3"/>
  <c r="S94" i="3"/>
  <c r="AE93" i="3"/>
  <c r="Y93" i="3"/>
  <c r="S93" i="3"/>
  <c r="AE92" i="3"/>
  <c r="Y92" i="3"/>
  <c r="S92" i="3"/>
  <c r="AE91" i="3"/>
  <c r="Y91" i="3"/>
  <c r="S91" i="3"/>
  <c r="AE90" i="3"/>
  <c r="Y90" i="3"/>
  <c r="S90" i="3"/>
  <c r="AE89" i="3"/>
  <c r="Y89" i="3"/>
  <c r="S89" i="3"/>
  <c r="AE88" i="3"/>
  <c r="Y88" i="3"/>
  <c r="S88" i="3"/>
  <c r="AE87" i="3"/>
  <c r="Y87" i="3"/>
  <c r="S87" i="3"/>
  <c r="AE86" i="3"/>
  <c r="Y86" i="3"/>
  <c r="S86" i="3"/>
  <c r="AE85" i="3"/>
  <c r="Y85" i="3"/>
  <c r="S85" i="3"/>
  <c r="AE84" i="3"/>
  <c r="Y84" i="3"/>
  <c r="S84" i="3"/>
  <c r="AE83" i="3"/>
  <c r="Y83" i="3"/>
  <c r="S83" i="3"/>
  <c r="AE82" i="3"/>
  <c r="Y82" i="3"/>
  <c r="S82" i="3"/>
  <c r="AE81" i="3"/>
  <c r="Y81" i="3"/>
  <c r="S81" i="3"/>
  <c r="AE80" i="3"/>
  <c r="Y80" i="3"/>
  <c r="S80" i="3"/>
  <c r="AE79" i="3"/>
  <c r="Y79" i="3"/>
  <c r="S79" i="3"/>
  <c r="AE78" i="3"/>
  <c r="Y78" i="3"/>
  <c r="S78" i="3"/>
  <c r="AE77" i="3"/>
  <c r="Y77" i="3"/>
  <c r="S77" i="3"/>
  <c r="AE76" i="3"/>
  <c r="Y76" i="3"/>
  <c r="S76" i="3"/>
  <c r="AE75" i="3"/>
  <c r="Y75" i="3"/>
  <c r="S75" i="3"/>
  <c r="AE74" i="3"/>
  <c r="Y74" i="3"/>
  <c r="S74" i="3"/>
  <c r="AE73" i="3"/>
  <c r="Y73" i="3"/>
  <c r="S73" i="3"/>
  <c r="AE72" i="3"/>
  <c r="Y72" i="3"/>
  <c r="S72" i="3"/>
  <c r="AE71" i="3"/>
  <c r="Y71" i="3"/>
  <c r="S71" i="3"/>
  <c r="AE70" i="3"/>
  <c r="Y70" i="3"/>
  <c r="S70" i="3"/>
  <c r="AE69" i="3"/>
  <c r="Y69" i="3"/>
  <c r="S69" i="3"/>
  <c r="AE68" i="3"/>
  <c r="Y68" i="3"/>
  <c r="S68" i="3"/>
  <c r="AE67" i="3"/>
  <c r="Y67" i="3"/>
  <c r="S67" i="3"/>
  <c r="AE66" i="3"/>
  <c r="Y66" i="3"/>
  <c r="S66" i="3"/>
  <c r="AE65" i="3"/>
  <c r="Y65" i="3"/>
  <c r="S65" i="3"/>
  <c r="AE64" i="3"/>
  <c r="Y64" i="3"/>
  <c r="S64" i="3"/>
  <c r="AE63" i="3"/>
  <c r="Y63" i="3"/>
  <c r="S63" i="3"/>
  <c r="AE62" i="3"/>
  <c r="Y62" i="3"/>
  <c r="S62" i="3"/>
  <c r="AE61" i="3"/>
  <c r="Y61" i="3"/>
  <c r="S61" i="3"/>
  <c r="AE60" i="3"/>
  <c r="Y60" i="3"/>
  <c r="S60" i="3"/>
  <c r="AE59" i="3"/>
  <c r="Y59" i="3"/>
  <c r="S59" i="3"/>
  <c r="AE58" i="3"/>
  <c r="Y58" i="3"/>
  <c r="S58" i="3"/>
  <c r="AE57" i="3"/>
  <c r="Y57" i="3"/>
  <c r="S57" i="3"/>
  <c r="AE56" i="3"/>
  <c r="Y56" i="3"/>
  <c r="S56" i="3"/>
  <c r="AE55" i="3"/>
  <c r="Y55" i="3"/>
  <c r="S55" i="3"/>
  <c r="AE54" i="3"/>
  <c r="Y54" i="3"/>
  <c r="S54" i="3"/>
  <c r="AE53" i="3"/>
  <c r="Y53" i="3"/>
  <c r="S53" i="3"/>
  <c r="AE52" i="3"/>
  <c r="Y52" i="3"/>
  <c r="S52" i="3"/>
  <c r="AE51" i="3"/>
  <c r="Y51" i="3"/>
  <c r="S51" i="3"/>
  <c r="AE50" i="3"/>
  <c r="Y50" i="3"/>
  <c r="S50" i="3"/>
  <c r="AE49" i="3"/>
  <c r="Y49" i="3"/>
  <c r="S49" i="3"/>
  <c r="AE48" i="3"/>
  <c r="Y48" i="3"/>
  <c r="S48" i="3"/>
  <c r="AE47" i="3"/>
  <c r="Y47" i="3"/>
  <c r="S47" i="3"/>
  <c r="AE46" i="3"/>
  <c r="Y46" i="3"/>
  <c r="S46" i="3"/>
  <c r="AE45" i="3"/>
  <c r="Y45" i="3"/>
  <c r="S45" i="3"/>
  <c r="AE44" i="3"/>
  <c r="Y44" i="3"/>
  <c r="S44" i="3"/>
  <c r="AE43" i="3"/>
  <c r="Y43" i="3"/>
  <c r="S43" i="3"/>
  <c r="AE42" i="3"/>
  <c r="Y42" i="3"/>
  <c r="S42" i="3"/>
  <c r="AE41" i="3"/>
  <c r="Y41" i="3"/>
  <c r="S41" i="3"/>
  <c r="AE40" i="3"/>
  <c r="Y40" i="3"/>
  <c r="S40" i="3"/>
  <c r="AE39" i="3"/>
  <c r="Y39" i="3"/>
  <c r="S39" i="3"/>
  <c r="AE38" i="3"/>
  <c r="Y38" i="3"/>
  <c r="S38" i="3"/>
  <c r="AE37" i="3"/>
  <c r="Y37" i="3"/>
  <c r="S37" i="3"/>
  <c r="AE36" i="3"/>
  <c r="Y36" i="3"/>
  <c r="S36" i="3"/>
  <c r="AE35" i="3"/>
  <c r="Y35" i="3"/>
  <c r="S35" i="3"/>
  <c r="AE34" i="3"/>
  <c r="Y34" i="3"/>
  <c r="S34" i="3"/>
  <c r="AE33" i="3"/>
  <c r="Y33" i="3"/>
  <c r="S33" i="3"/>
  <c r="AE32" i="3"/>
  <c r="Y32" i="3"/>
  <c r="S32" i="3"/>
  <c r="AE31" i="3"/>
  <c r="Y31" i="3"/>
  <c r="S31" i="3"/>
  <c r="AE30" i="3"/>
  <c r="Y30" i="3"/>
  <c r="S30" i="3"/>
  <c r="AE29" i="3"/>
  <c r="Y29" i="3"/>
  <c r="S29" i="3"/>
  <c r="AE28" i="3"/>
  <c r="Y28" i="3"/>
  <c r="S28" i="3"/>
  <c r="AE27" i="3"/>
  <c r="Y27" i="3"/>
  <c r="S27" i="3"/>
  <c r="AE26" i="3"/>
  <c r="Y26" i="3"/>
  <c r="S26" i="3"/>
  <c r="AE25" i="3"/>
  <c r="Y25" i="3"/>
  <c r="S25" i="3"/>
  <c r="AE24" i="3"/>
  <c r="Y24" i="3"/>
  <c r="S24" i="3"/>
  <c r="AE23" i="3"/>
  <c r="Y23" i="3"/>
  <c r="S23" i="3"/>
  <c r="AE22" i="3"/>
  <c r="Y22" i="3"/>
  <c r="S22" i="3"/>
  <c r="AE21" i="3"/>
  <c r="Y21" i="3"/>
  <c r="S21" i="3"/>
  <c r="AE20" i="3"/>
  <c r="Y20" i="3"/>
  <c r="S20" i="3"/>
  <c r="AE19" i="3"/>
  <c r="Y19" i="3"/>
  <c r="S19" i="3"/>
  <c r="AE18" i="3"/>
  <c r="Y18" i="3"/>
  <c r="S18" i="3"/>
  <c r="AE17" i="3"/>
  <c r="Y17" i="3"/>
  <c r="S17" i="3"/>
  <c r="AE16" i="3"/>
  <c r="Y16" i="3"/>
  <c r="S16" i="3"/>
  <c r="AE15" i="3"/>
  <c r="Y15" i="3"/>
  <c r="S15" i="3"/>
  <c r="AE14" i="3"/>
  <c r="Y14" i="3"/>
  <c r="S14" i="3"/>
  <c r="AE13" i="3"/>
  <c r="Y13" i="3"/>
  <c r="S13" i="3"/>
  <c r="AE12" i="3"/>
  <c r="Y12" i="3"/>
  <c r="S12" i="3"/>
  <c r="AE11" i="3"/>
  <c r="Y11" i="3"/>
  <c r="S11" i="3"/>
  <c r="AE10" i="3"/>
  <c r="Y10" i="3"/>
  <c r="S10" i="3"/>
  <c r="AE9" i="3"/>
  <c r="Y9" i="3"/>
  <c r="S9" i="3"/>
  <c r="AE8" i="3"/>
  <c r="Y8" i="3"/>
  <c r="S8" i="3"/>
  <c r="AE7" i="3"/>
  <c r="Y7" i="3"/>
  <c r="S7" i="3"/>
  <c r="AE6" i="3"/>
  <c r="Y6" i="3"/>
  <c r="S6" i="3"/>
  <c r="AE5" i="3"/>
  <c r="Y5" i="3"/>
  <c r="S5" i="3"/>
  <c r="AE4" i="3"/>
  <c r="Y4" i="3"/>
  <c r="S4" i="3"/>
  <c r="AE3" i="3"/>
  <c r="Y3" i="3"/>
  <c r="S3" i="3"/>
  <c r="AE2" i="3"/>
  <c r="Y2" i="3"/>
  <c r="S2" i="3"/>
</calcChain>
</file>

<file path=xl/sharedStrings.xml><?xml version="1.0" encoding="utf-8"?>
<sst xmlns="http://schemas.openxmlformats.org/spreadsheetml/2006/main" count="4115" uniqueCount="1111">
  <si>
    <t>Code</t>
  </si>
  <si>
    <t>Family</t>
  </si>
  <si>
    <t>Type</t>
  </si>
  <si>
    <t>Title VI</t>
  </si>
  <si>
    <t>Title EN</t>
  </si>
  <si>
    <t>Min Level</t>
  </si>
  <si>
    <t>Level Name</t>
  </si>
  <si>
    <t>Prerequisites</t>
  </si>
  <si>
    <t>Prereq Codes</t>
  </si>
  <si>
    <t>Scope</t>
  </si>
  <si>
    <t>Deliverables</t>
  </si>
  <si>
    <t>MVT</t>
  </si>
  <si>
    <t>Extension</t>
  </si>
  <si>
    <t>Tools</t>
  </si>
  <si>
    <t>Status</t>
  </si>
  <si>
    <t>Alias HK1_2026_2027</t>
  </si>
  <si>
    <t>Career Relevance</t>
  </si>
  <si>
    <t>A0-P01</t>
  </si>
  <si>
    <t>A0</t>
  </si>
  <si>
    <t>P</t>
  </si>
  <si>
    <t>Thiết kế và tự chế tạo thủ công mạch nguồn DC cơ bản</t>
  </si>
  <si>
    <t>Design and Manual Fabrication of a Basic DC Power Supply PCB</t>
  </si>
  <si>
    <t>Explorer</t>
  </si>
  <si>
    <t>Điện tử cơ bản; an toàn điện; cẩn thận.</t>
  </si>
  <si>
    <t>Requirement -&gt; component selection -&gt; schematic -&gt; PCB layout -&gt; manual fabrication -&gt; assembly -&gt; measurement -&gt; debug.</t>
  </si>
  <si>
    <t>Schematic; PCB layout; PCB tự chế tạo; board lắp ráp; kết quả đo tải/ripple; debugging log.</t>
  </si>
  <si>
    <t>So sánh hai phương án nguồn hoặc cải thiện ripple/thermal trong phạm vi an toàn.</t>
  </si>
  <si>
    <t>KiCad/EDA PCB tương đương; dụng cụ làm PCB thủ công; đồng hồ số; oscilloscope/logic analyzer khi phù hợp.</t>
  </si>
  <si>
    <t>active</t>
  </si>
  <si>
    <t>Hardware/PCB engineer; nền tảng thực hành cho mọi hướng phần cứng.</t>
  </si>
  <si>
    <t>A0-P02</t>
  </si>
  <si>
    <t>Thiết kế và chế tạo mạch logic tổ hợp trên PCB</t>
  </si>
  <si>
    <t>Design and Manual PCB Implementation of a Combinational Logic Circuit</t>
  </si>
  <si>
    <t>Logic tổ hợp + điện tử cơ bản.</t>
  </si>
  <si>
    <t>Boolean -&gt; gates/ICs -&gt; schematic -&gt; PCB -&gt; fabrication -&gt; test.</t>
  </si>
  <si>
    <t>Truth table; schematic; PCB; board thật; measurement; failure-fix evidence.</t>
  </si>
  <si>
    <t>Đánh giá fan-out/noise margin ở mức minh họa nếu thiết bị cho phép.</t>
  </si>
  <si>
    <t>A0-P03</t>
  </si>
  <si>
    <t>Thiết kế và chế tạo bộ đếm số trên PCB</t>
  </si>
  <si>
    <t>Design and Manual Implementation of a Digital Counter PCB</t>
  </si>
  <si>
    <t>Logic tuần tự cơ bản.</t>
  </si>
  <si>
    <t>Clock, counter, reset, display/7-segment và tín hiệu điều khiển.</t>
  </si>
  <si>
    <t>Schematic; PCB; counter + display hoạt động; test reset/clock; debugging report.</t>
  </si>
  <si>
    <t>Bổ sung debounce hoặc nhiều mode đếm.</t>
  </si>
  <si>
    <t>A0-P04</t>
  </si>
  <si>
    <t>Thiết kế board giao tiếp cảm biến</t>
  </si>
  <si>
    <t>Design and Manual Fabrication of a Sensor Interface Board</t>
  </si>
  <si>
    <t>Điện tử cơ bản; biết đọc datasheet.</t>
  </si>
  <si>
    <t>Sensor -&gt; signal conditioning/interface -&gt; connector/ADC/MCU tùy mức.</t>
  </si>
  <si>
    <t>Requirement; datasheet note; schematic; PCB; board; measurement.</t>
  </si>
  <si>
    <t>Calibration hoặc đánh giá noise.</t>
  </si>
  <si>
    <t>A0-P05</t>
  </si>
  <si>
    <t>Thiết kế embedded controller board cơ bản</t>
  </si>
  <si>
    <t>Design of a Basic Microcontroller-Based Embedded Board</t>
  </si>
  <si>
    <t>Beginner Engineer</t>
  </si>
  <si>
    <t>Điện tử; MCU cơ bản; datasheet.</t>
  </si>
  <si>
    <t>MCU + power + reset + clock + LED/button + UART/sensor connector.</t>
  </si>
  <si>
    <t>Schematic; PCB; power/reset/clock/I/O; firmware test; board demo.</t>
  </si>
  <si>
    <t>Bổ sung một peripheral hoặc low-power mode.</t>
  </si>
  <si>
    <t>A0-P06</t>
  </si>
  <si>
    <t>Thiết kế PCB mở rộng I/O cho FPGA</t>
  </si>
  <si>
    <t>Design of a Custom FPGA I/O Expansion Board</t>
  </si>
  <si>
    <t>Điện tử + hiểu I/O FPGA ở mức cơ bản.</t>
  </si>
  <si>
    <t>FPGA development board -&gt; GPIO/SPI/UART -&gt; custom PCB -&gt; sensor/LED/DAC/actuator.</t>
  </si>
  <si>
    <t>PCB extension; interface test; FPGA demo; documentation.</t>
  </si>
  <si>
    <t>Thêm protocol hoặc đo timing I/O.</t>
  </si>
  <si>
    <t>A0-I01</t>
  </si>
  <si>
    <t>I</t>
  </si>
  <si>
    <t>Thực tập thiết kế, chế tạo và kiểm thử phần cứng điện tử</t>
  </si>
  <si>
    <t>Electronic Hardware Design, Fabrication and Testing Internship</t>
  </si>
  <si>
    <t>Hoàn thành ít nhất một project A0-P hoặc năng lực tương đương.</t>
  </si>
  <si>
    <t>A0-P*</t>
  </si>
  <si>
    <t>Một board hoàn chỉnh qua requirement-design-build-test-debug-document.</t>
  </si>
  <si>
    <t>Working board; design files; BOM; measurement; debug log; technical report; legacy package.</t>
  </si>
  <si>
    <t>Tối ưu revision 2 dựa trên lỗi revision 1.</t>
  </si>
  <si>
    <t>A1-P01</t>
  </si>
  <si>
    <t>A1</t>
  </si>
  <si>
    <t>Thiết kế các mạch logic tổ hợp bằng Verilog</t>
  </si>
  <si>
    <t>Combinational Logic Design in Verilog</t>
  </si>
  <si>
    <t>Logic tổ hợp.</t>
  </si>
  <si>
    <t>MUX/decoder/comparator/ALU nhỏ với exhaustive hoặc directed tests.</t>
  </si>
  <si>
    <t>RTL; testbench; waveform; short report.</t>
  </si>
  <si>
    <t>So sánh coding style và synthesis.</t>
  </si>
  <si>
    <t>Verilog/SystemVerilog; Icarus Verilog/Verilator; GTKWave; Git.</t>
  </si>
  <si>
    <t>RTL design &amp; verification engineer.</t>
  </si>
  <si>
    <t>A1-P02</t>
  </si>
  <si>
    <t>Thiết kế các mạch tuần tự bằng Verilog</t>
  </si>
  <si>
    <t>Sequential Logic Design in Verilog</t>
  </si>
  <si>
    <t>Flip-flop/counter/register.</t>
  </si>
  <si>
    <t>Counter/shift register/clock divider/sequence detector.</t>
  </si>
  <si>
    <t>RTL; reset tests; waveform; report.</t>
  </si>
  <si>
    <t>Thêm parameterization hoặc corner cases.</t>
  </si>
  <si>
    <t>A1-P03</t>
  </si>
  <si>
    <t>Thiết kế FSM cho một bộ điều khiển số</t>
  </si>
  <si>
    <t>FSM Design for a Digital Controller</t>
  </si>
  <si>
    <t>Logic tuần tự + state diagram.</t>
  </si>
  <si>
    <t>Traffic/vending/simple controller.</t>
  </si>
  <si>
    <t>Specification; state diagram; RTL; tests; waveform.</t>
  </si>
  <si>
    <t>Moore vs Mealy comparison nếu phù hợp.</t>
  </si>
  <si>
    <t>A1-P04</t>
  </si>
  <si>
    <t>Thiết kế UART transmitter/receiver bằng RTL</t>
  </si>
  <si>
    <t>RTL Design of a UART Transmitter/Receiver</t>
  </si>
  <si>
    <t>RTL cơ bản; timing counter.</t>
  </si>
  <si>
    <t>TX/RX với baud generator và corner tests.</t>
  </si>
  <si>
    <t>UART RTL; loopback testbench; waveform; README.</t>
  </si>
  <si>
    <t>Parameterized baud/data format.</t>
  </si>
  <si>
    <t>A1-P05</t>
  </si>
  <si>
    <t>Thiết kế synchronous FIFO bằng RTL</t>
  </si>
  <si>
    <t>RTL Design of a Synchronous FIFO</t>
  </si>
  <si>
    <t>RTL; pointer/counter.</t>
  </si>
  <si>
    <t>Parameterized FIFO và verification.</t>
  </si>
  <si>
    <t>FIFO RTL; full/empty/overflow/underflow tests; waveform.</t>
  </si>
  <si>
    <t>Thêm assertions hoặc coverage-like checklist.</t>
  </si>
  <si>
    <t>A1-I01</t>
  </si>
  <si>
    <t>Thiết kế và kiểm chứng reusable Digital IP Core</t>
  </si>
  <si>
    <t>Design and Verification of a Reusable Digital IP Core</t>
  </si>
  <si>
    <t>A1-P tương đương; Git cơ bản.</t>
  </si>
  <si>
    <t>A1-P*</t>
  </si>
  <si>
    <t>UART/SPI/FIFO/PWM/Timer theo engineering workflow.</t>
  </si>
  <si>
    <t>Specification; reusable RTL; testbench; regression; documentation; repo.</t>
  </si>
  <si>
    <t>Thêm parameterization và CI.</t>
  </si>
  <si>
    <t>A1-T01</t>
  </si>
  <si>
    <t>T</t>
  </si>
  <si>
    <t>Thiết kế và kiểm chứng một IP số có khả năng tái sử dụng</t>
  </si>
  <si>
    <t>Design and Verification of a Reusable Digital IP</t>
  </si>
  <si>
    <t>Independent Engineering Student</t>
  </si>
  <si>
    <t>RTL khá; simulation/debug; Git.</t>
  </si>
  <si>
    <t>Tập trung correctness, corner cases, portability và reuse.</t>
  </si>
  <si>
    <t>Complete IP; systematic verification; synthesis report; documentation; legacy package.</t>
  </si>
  <si>
    <t>Specification; Reusable RTL IP; Testbench + regression; Waveform/checklist verification; FPGA demo; User guide cho IP.</t>
  </si>
  <si>
    <t>FPGA/ASIC implementation hoặc stronger verification.</t>
  </si>
  <si>
    <t>Verilog/SystemVerilog, Icarus/Verilator/ModelSim, GTKWave, FPGA tool, Git.</t>
  </si>
  <si>
    <t>A4</t>
  </si>
  <si>
    <t>A2-P01</t>
  </si>
  <si>
    <t>A2</t>
  </si>
  <si>
    <t>Thiết kế và so sánh các kiến trúc bộ cộng số</t>
  </si>
  <si>
    <t>Design and Comparison of Digital Adder Architectures</t>
  </si>
  <si>
    <t>Binary arithmetic + RTL.</t>
  </si>
  <si>
    <t>Ripple-carry / carry-lookahead / carry-select theo bit-width phù hợp.</t>
  </si>
  <si>
    <t>RTL nhiều architecture; functional tests; synthesis comparison.</t>
  </si>
  <si>
    <t>Thêm parallel-prefix nếu đủ năng lực.</t>
  </si>
  <si>
    <t>Verilog/SystemVerilog; Python/MATLAB; FPGA toolchain; Yosys/ASIC flow khi mở rộng.</t>
  </si>
  <si>
    <t>DSP hardware / datapath design; nền số học cho FPGA-ASIC.</t>
  </si>
  <si>
    <t>A2-P02</t>
  </si>
  <si>
    <t>Thiết kế multiplier fixed-point</t>
  </si>
  <si>
    <t>Fixed-Point Multiplier Design</t>
  </si>
  <si>
    <t>Signed arithmetic; RTL.</t>
  </si>
  <si>
    <t>Signed fixed-point multiply với scaling và overflow handling.</t>
  </si>
  <si>
    <t>Reference model; RTL; overflow/truncation tests; synthesis.</t>
  </si>
  <si>
    <t>Rounding/saturation comparison.</t>
  </si>
  <si>
    <t>A2-P03</t>
  </si>
  <si>
    <t>Thiết kế Multiply-Accumulate datapath</t>
  </si>
  <si>
    <t>Multiply-Accumulate Datapath Design</t>
  </si>
  <si>
    <t>Multiplier + accumulator concepts.</t>
  </si>
  <si>
    <t>Multiplier -&gt; accumulator -&gt; registers/pipeline.</t>
  </si>
  <si>
    <t>MAC RTL; pipeline tests; resource/timing report.</t>
  </si>
  <si>
    <t>Resource sharing vs parallel.</t>
  </si>
  <si>
    <t>A2-P04</t>
  </si>
  <si>
    <t>Thiết kế bộ lọc FIR bằng RTL</t>
  </si>
  <si>
    <t>RTL Design of an FIR Filter</t>
  </si>
  <si>
    <t>DSP cơ bản; RTL.</t>
  </si>
  <si>
    <t>Delay line + coefficients + multiply/add.</t>
  </si>
  <si>
    <t>Floating reference; RTL; fixed-point test; waveform.</t>
  </si>
  <si>
    <t>Direct vs transposed architecture.</t>
  </si>
  <si>
    <t>A2-I01</t>
  </si>
  <si>
    <t>Thiết kế và triển khai datapath DSP fixed-point trên FPGA</t>
  </si>
  <si>
    <t>Fixed-Point DSP Datapath Design and FPGA Implementation</t>
  </si>
  <si>
    <t>A2-P hoặc tương đương; FPGA cơ bản.</t>
  </si>
  <si>
    <t>A2-P*</t>
  </si>
  <si>
    <t>Một datapath DSP hoàn chỉnh và co-verification.</t>
  </si>
  <si>
    <t>Golden model; RTL; FPGA synthesis; resource/Fmax/latency; report.</t>
  </si>
  <si>
    <t>Bit-width sweep.</t>
  </si>
  <si>
    <t>A2-T01</t>
  </si>
  <si>
    <t>Thiết kế bộ lọc FIR fixed-point trên FPGA và khảo sát ASIC</t>
  </si>
  <si>
    <t>Fixed-Point FIR Filter Design on FPGA with ASIC Implementation Analysis</t>
  </si>
  <si>
    <t>DSP + RTL + FPGA; Python/MATLAB.</t>
  </si>
  <si>
    <t>Floating -&gt; fixed -&gt; RTL -&gt; FPGA -&gt; ASIC feasibility.</t>
  </si>
  <si>
    <t>Reference; quantization; RTL; FPGA results; ASIC synthesis/physical evidence phù hợp; analysis.</t>
  </si>
  <si>
    <t>Golden model + test vectors; Fixed-point error analysis; RTL + testbench; FPGA resource/Fmax/latency; ASIC area/timing estimate; Bảng trade-off accuracy - hardware cost.</t>
  </si>
  <si>
    <t>Architecture comparison hoặc coefficient quantization study.</t>
  </si>
  <si>
    <t>MATLAB/Python, Verilog, FPGA toolchain, Yosys/LibreLane tùy phạm vi.</t>
  </si>
  <si>
    <t>A3</t>
  </si>
  <si>
    <t>A2-T02</t>
  </si>
  <si>
    <t>Thiết kế và tối ưu MAC datapath cho FPGA/ASIC</t>
  </si>
  <si>
    <t>Design and Optimization of a Fixed-Point MAC Datapath for FPGA/ASIC</t>
  </si>
  <si>
    <t>RTL; fixed-point; synthesis.</t>
  </si>
  <si>
    <t>Bit width + pipeline + rounding/saturation + resource sharing.</t>
  </si>
  <si>
    <t>Multiple configurations; PPA/resource/timing; accuracy; report.</t>
  </si>
  <si>
    <t>Golden model; Parameterized RTL MAC; Verification vectors; PPA/Fmax/latency table; Numerical error analysis.</t>
  </si>
  <si>
    <t>Pareto/design-space analysis.</t>
  </si>
  <si>
    <t>Python/MATLAB, Verilog, FPGA tool, synthesis/STA.</t>
  </si>
  <si>
    <t>A9</t>
  </si>
  <si>
    <t>A2-T03</t>
  </si>
  <si>
    <t>Thiết kế và đánh giá PPA của các kiến trúc bộ cộng số học</t>
  </si>
  <si>
    <t>Design and PPA Evaluation of Digital Adder Architectures</t>
  </si>
  <si>
    <t>Logic tổ hợp; binary arithmetic; RTL; synthesis/STA cơ bản.</t>
  </si>
  <si>
    <t>Triển khai và so sánh các kiến trúc adder theo delay/area trên nhiều bit-width trong cùng điều kiện synthesis/implementation.</t>
  </si>
  <si>
    <t>RTL các kiến trúc RCA/CLA/carry-select (tùy chọn parallel-prefix); functional-equivalence tests; synthesis/STA cùng constraint; phân tích logic depth/carry propagation; bảng PPA theo bit-width 8/16/32/64.</t>
  </si>
  <si>
    <t>RTL các adder; Common testbench; Timing/area table theo bit-width; Critical path analysis; Design recommendation.</t>
  </si>
  <si>
    <t>Thêm parallel-prefix (Kogge-Stone/Brent-Kung) hoặc Pareto analysis theo bit-width.</t>
  </si>
  <si>
    <t>Verilog, simulator, Yosys/synthesis, OpenSTA/ASIC flow.</t>
  </si>
  <si>
    <t>A8</t>
  </si>
  <si>
    <t>A2-R01</t>
  </si>
  <si>
    <t>R</t>
  </si>
  <si>
    <t>Hardware design-space exploration cho fixed-point datapath</t>
  </si>
  <si>
    <t>Hardware Design-Space Exploration for Fixed-Point Datapaths</t>
  </si>
  <si>
    <t>Undergraduate Researcher</t>
  </si>
  <si>
    <t>A2-T-level baseline; scripting; controlled experiments.</t>
  </si>
  <si>
    <t>A2-T*</t>
  </si>
  <si>
    <t>Quantify accuracy-area-timing-throughput trade-off across architecture/precision.</t>
  </si>
  <si>
    <t>Reproducible sweep; Pareto analysis; research report/paper-ready figures.</t>
  </si>
  <si>
    <t>Optimization/search method nếu baseline sweep đã chắc.</t>
  </si>
  <si>
    <t>A3-P01</t>
  </si>
  <si>
    <t>Triển khai một Digital IP trên FPGA</t>
  </si>
  <si>
    <t>FPGA Implementation of a Digital IP</t>
  </si>
  <si>
    <t>RTL + simulation.</t>
  </si>
  <si>
    <t>Take a verified IP to FPGA and test physical I/O.</t>
  </si>
  <si>
    <t>Bitstream/project; hardware demo; resource/Fmax; README.</t>
  </si>
  <si>
    <t>Add self-test or measurement.</t>
  </si>
  <si>
    <t>FPGA vendor tools; Verilog/SystemVerilog; ModelSim/Questa/Icarus/Verilator tùy nền tảng; logic analyzer khi có.</t>
  </si>
  <si>
    <t>FPGA system engineer.</t>
  </si>
  <si>
    <t>A3-P02</t>
  </si>
  <si>
    <t>FPGA interfacing với peripheral</t>
  </si>
  <si>
    <t>FPGA Interfacing with a Peripheral</t>
  </si>
  <si>
    <t>RTL; basic protocol.</t>
  </si>
  <si>
    <t>UART/SPI/ADC/sensor/7-segment interface.</t>
  </si>
  <si>
    <t>Interface RTL; board demo; tests; documentation.</t>
  </si>
  <si>
    <t>Higher-rate mode or error handling.</t>
  </si>
  <si>
    <t>A3-P03</t>
  </si>
  <si>
    <t>Hệ thống xử lý tín hiệu số trên FPGA</t>
  </si>
  <si>
    <t>FPGA-Based Digital Signal Processing System</t>
  </si>
  <si>
    <t>A2 basics + FPGA.</t>
  </si>
  <si>
    <t>FIR/moving average/simple convolution.</t>
  </si>
  <si>
    <t>Working DSP pipeline; resource/timing; hardware test.</t>
  </si>
  <si>
    <t>Streaming/pipelining optimization.</t>
  </si>
  <si>
    <t>A3-I01</t>
  </si>
  <si>
    <t>Xây dựng hệ thống FPGA tích hợp nhiều IP</t>
  </si>
  <si>
    <t>Integration of Multiple IP Cores on FPGA</t>
  </si>
  <si>
    <t>A1 + basic FPGA.</t>
  </si>
  <si>
    <t>UART -&gt; FIFO -&gt; processing core -&gt; output, hoặc hệ tương đương.</t>
  </si>
  <si>
    <t>Integrated system; interface tests; demo; documentation.</t>
  </si>
  <si>
    <t>Add monitoring or CI.</t>
  </si>
  <si>
    <t>A3-T01</t>
  </si>
  <si>
    <t>Thiết kế hệ thống xử lý dữ liệu số pipelined trên FPGA</t>
  </si>
  <si>
    <t>Design of a Pipelined Digital Processing System on FPGA</t>
  </si>
  <si>
    <t>Strong RTL + FPGA + measurement discipline.</t>
  </si>
  <si>
    <t>A3-P*</t>
  </si>
  <si>
    <t>Optimize pipeline and explain performance trade-offs.</t>
  </si>
  <si>
    <t>Architecture; RTL; verification; FPGA; LUT/FF/DSP/Fmax/latency/throughput analysis.</t>
  </si>
  <si>
    <t>Reference model; 2+ pipeline configurations; RTL + verification; Fmax/resource/latency/throughput table; Kết luận về pipeline trade-off.</t>
  </si>
  <si>
    <t>Compare two pipeline depths/architectures.</t>
  </si>
  <si>
    <t>Python/MATLAB, Verilog, simulator, FPGA tool.</t>
  </si>
  <si>
    <t>A5</t>
  </si>
  <si>
    <t>A3-T02</t>
  </si>
  <si>
    <t>Hardware/software co-verification cho hệ thống FPGA</t>
  </si>
  <si>
    <t>Hardware/Software Co-Verification for an FPGA System</t>
  </si>
  <si>
    <t>Python/MATLAB + RTL + FPGA.</t>
  </si>
  <si>
    <t>Build repeatable software-vs-hardware validation.</t>
  </si>
  <si>
    <t>Golden model; vector generation; RTL/FPGA agreement; automated comparison; report.</t>
  </si>
  <si>
    <t>Golden model + sinh vector tự động + so khớp RTL/FPGA tự động trên tối thiểu một IP, kèm báo cáo mismatch tái lập được.</t>
  </si>
  <si>
    <t>Regression automation.</t>
  </si>
  <si>
    <t>A4-P01</t>
  </si>
  <si>
    <t>Làm quen RTL-to-Gates bằng Yosys</t>
  </si>
  <si>
    <t>RTL-to-Gates Exploration with Yosys</t>
  </si>
  <si>
    <t>RTL cơ bản; Linux cơ bản.</t>
  </si>
  <si>
    <t>Observe how RTL becomes logic cells/netlist.</t>
  </si>
  <si>
    <t>RTL; synthesis script; netlist/report; explanation.</t>
  </si>
  <si>
    <t>Coding-style comparison.</t>
  </si>
  <si>
    <t>WSL/Linux; Yosys; LibreLane/OpenROAD; KLayout; PDK phù hợp (ví dụ Sky130 khi dùng open-source flow).</t>
  </si>
  <si>
    <t>ASIC physical design; RTL-to-GDSII engineer.</t>
  </si>
  <si>
    <t>A4-P02</t>
  </si>
  <si>
    <t>Khảo sát ảnh hưởng của RTL coding style tới synthesis</t>
  </si>
  <si>
    <t>Effect of RTL Coding Style on Synthesis Results</t>
  </si>
  <si>
    <t>RTL + Yosys basics.</t>
  </si>
  <si>
    <t>Control one variable at a time and compare mapping/timing/area proxy.</t>
  </si>
  <si>
    <t>Equivalent RTL variants; synthesis evidence; comparison.</t>
  </si>
  <si>
    <t>Add STA/technology mapping.</t>
  </si>
  <si>
    <t>A4-I01</t>
  </si>
  <si>
    <t>Xây dựng môi trường RTL-to-GDSII mã nguồn mở</t>
  </si>
  <si>
    <t>Build an Open-Source RTL-to-GDSII Environment</t>
  </si>
  <si>
    <t>Linux/WSL; Git; RTL basics.</t>
  </si>
  <si>
    <t>WSL/Linux -&gt; Nix/managed environment -&gt; LibreLane/OpenROAD -&gt; KLayout.</t>
  </si>
  <si>
    <t>Reproducible setup; sample designs; documented commands; troubleshooting notes.</t>
  </si>
  <si>
    <t>CI smoke test; version pinning.</t>
  </si>
  <si>
    <t>A4-T01</t>
  </si>
  <si>
    <t>Thiết kế một Digital IP từ RTL đến GDSII</t>
  </si>
  <si>
    <t>Design and Evaluation of a Digital IP from RTL to GDSII</t>
  </si>
  <si>
    <t>Verified RTL + Linux + synthesis basics.</t>
  </si>
  <si>
    <t>End-to-end digital ASIC flow on a manageable IP.</t>
  </si>
  <si>
    <t>Spec; RTL; testbench; synthesis; STA; physical implementation; DRC/LVS evidence; GDSII; PPA report.</t>
  </si>
  <si>
    <t>Specification + block diagram; RTL + testbench + regression; Waveform/log verification; Synthesis/STA/PPA report; Layout/GDSII hoặc physical implementation report; Repository có README và hướng dẫn tái lập.</t>
  </si>
  <si>
    <t>Compare constraints or architectures only after baseline sign-off.</t>
  </si>
  <si>
    <t>Verilog/SystemVerilog, Icarus/Verilator, GTKWave, Yosys, LibreLane/OpenROAD, KLayout, Git.</t>
  </si>
  <si>
    <t>A4-T02</t>
  </si>
  <si>
    <t>Khảo sát ảnh hưởng kiến trúc RTL đến PPA</t>
  </si>
  <si>
    <t>RTL Architecture Exploration for PPA</t>
  </si>
  <si>
    <t>Research-Ready Undergraduate</t>
  </si>
  <si>
    <t>A4-T01-level flow on at least one design.</t>
  </si>
  <si>
    <t>Measure power/performance/area proxies and explain architectural causes.</t>
  </si>
  <si>
    <t>2+ functionally equivalent architectures; controlled PPA comparison; analysis.</t>
  </si>
  <si>
    <t>Hai hoặc nhiều RTL architecture; Testbench dùng chung; Bảng PPA + latency/throughput; Giải thích nguyên nhân vật lý/kiến trúc của khác biệt; Khuyến nghị architecture theo mục tiêu thiết kế.</t>
  </si>
  <si>
    <t>Pareto optimization.</t>
  </si>
  <si>
    <t>Verilog/SystemVerilog, simulator, Yosys/EDA synthesis, OpenSTA/ASIC flow, Python/Excel để phân tích.</t>
  </si>
  <si>
    <t>A4-R01</t>
  </si>
  <si>
    <t>Design-space exploration cho một Digital IP</t>
  </si>
  <si>
    <t>Design-Space Exploration for a Digital IP</t>
  </si>
  <si>
    <t>Reproducible ASIC flow + scripting + research readiness.</t>
  </si>
  <si>
    <t>Search architecture/constraint space for PPA trade-offs.</t>
  </si>
  <si>
    <t>Automated experiments; statistical/controlled analysis; research report.</t>
  </si>
  <si>
    <t>Optimization algorithm if justified.</t>
  </si>
  <si>
    <t>A5-P01</t>
  </si>
  <si>
    <t>Xây dựng testbench có hệ thống cho một RTL module</t>
  </si>
  <si>
    <t>Systematic Testbench Development for an RTL Module</t>
  </si>
  <si>
    <t>Normal/boundary/invalid/reset tests.</t>
  </si>
  <si>
    <t>Test plan; testbench; pass/fail evidence; bug log.</t>
  </si>
  <si>
    <t>Assertions/checkers.</t>
  </si>
  <si>
    <t>Git/GitHub; shell/Python; Icarus/Verilator; Yosys; LibreLane/Nix; CI phù hợp.</t>
  </si>
  <si>
    <t>Verification/EDA infrastructure; DevOps cho phần cứng.</t>
  </si>
  <si>
    <t>A5-P02</t>
  </si>
  <si>
    <t>Regression testing cho Digital IP</t>
  </si>
  <si>
    <t>Regression Testing for a Digital IP</t>
  </si>
  <si>
    <t>A5-P01 + scripting.</t>
  </si>
  <si>
    <t>Automate repeated simulation and failure reporting.</t>
  </si>
  <si>
    <t>Regression script; test set; summary report; reproducible run.</t>
  </si>
  <si>
    <t>CI integration.</t>
  </si>
  <si>
    <t>A5-I01</t>
  </si>
  <si>
    <t>Xây dựng Git workflow cho dự án RTL</t>
  </si>
  <si>
    <t>Git Workflow for RTL Projects</t>
  </si>
  <si>
    <t>Git basics desirable.</t>
  </si>
  <si>
    <t>Practice reproducible collaboration on a small RTL project.</t>
  </si>
  <si>
    <t>Repo structure; branches/issues; README; test scripts; contribution guide.</t>
  </si>
  <si>
    <t>Pull-request checks.</t>
  </si>
  <si>
    <t>A5-T01</t>
  </si>
  <si>
    <t>Xây dựng quy trình ASIC tái lập sử dụng LibreLane + Nix</t>
  </si>
  <si>
    <t>Reproducible ASIC Workflow Using LibreLane and Nix</t>
  </si>
  <si>
    <t>Linux + Git + A4 basics.</t>
  </si>
  <si>
    <t>Reproducibility is the thesis object, not software installation alone.</t>
  </si>
  <si>
    <t>Pinned environment; 3 reference designs; repeatability evidence; docs; troubleshooting.</t>
  </si>
  <si>
    <t>Repository môi trường; Automated scripts; 3 benchmark designs; Reproducibility checklist; Installation/use guide; Báo cáo đánh giá workflow.</t>
  </si>
  <si>
    <t>Docker fallback/CI comparison if needed.</t>
  </si>
  <si>
    <t>WSL/Linux, Git, Nix, LibreLane/OpenROAD, Yosys, simulators.</t>
  </si>
  <si>
    <t>A6</t>
  </si>
  <si>
    <t>A5-T02</t>
  </si>
  <si>
    <t>Continuous Integration cho dự án RTL/ASIC</t>
  </si>
  <si>
    <t>Continuous Integration for RTL/ASIC Projects</t>
  </si>
  <si>
    <t>Git/GitHub; scripting; simulation; synthesis basics.</t>
  </si>
  <si>
    <t>Automated quality gates for hardware repository.</t>
  </si>
  <si>
    <t>CI pipeline; lint/sim/regression/synthesis reports; failure examples; docs.</t>
  </si>
  <si>
    <t>CI-enabled repository; Automated test pipeline; Artifacts/reports; Regression demonstration; Developer guide.</t>
  </si>
  <si>
    <t>ASIC smoke/PPA regression.</t>
  </si>
  <si>
    <t>GitHub Actions, shell/Python, Verilator/Icarus, Yosys, tùy chọn LibreLane/Nix/Docker.</t>
  </si>
  <si>
    <t>A7</t>
  </si>
  <si>
    <t>A5-R01</t>
  </si>
  <si>
    <t>Automated PPA regression cho Digital IC</t>
  </si>
  <si>
    <t>Automated PPA Regression for Digital IC Development</t>
  </si>
  <si>
    <t>A5-T02 + stable ASIC flow.</t>
  </si>
  <si>
    <t>Detect timing/area/power degradation and relate to source changes.</t>
  </si>
  <si>
    <t>Dataset of commits/configurations; regression thresholds; analysis; research report.</t>
  </si>
  <si>
    <t>Statistical anomaly detection if justified.</t>
  </si>
  <si>
    <t>A6-P01</t>
  </si>
  <si>
    <t>Lập trình firmware bare-metal điều khiển ngoại vi vi điều khiển</t>
  </si>
  <si>
    <t>Bare-Metal Peripheral Firmware for a Microcontroller</t>
  </si>
  <si>
    <t>C cơ bản; đọc datasheet; Git nhập môn.</t>
  </si>
  <si>
    <t>Datasheet -&gt; cấu hình thanh ghi -&gt; driver -&gt; kiểm chứng tín hiệu thật -&gt; tài liệu hóa.</t>
  </si>
  <si>
    <t>Driver UART/I2C/SPI tự viết (không dùng HAL sinh sẵn cho phần lõi); firmware demo; đo kiểm bằng logic analyzer; README.</t>
  </si>
  <si>
    <t>Thêm DMA hoặc chế độ tiết kiệm năng lượng, đo chênh lệch dòng tiêu thụ.</t>
  </si>
  <si>
    <t>C; STM32/ESP32; logic analyzer; đồng hồ số; Git.</t>
  </si>
  <si>
    <t>Embedded firmware engineer; nền cho mọi đề tài A6/A7.</t>
  </si>
  <si>
    <t>A6-P02</t>
  </si>
  <si>
    <t>Ứng dụng đa nhiệm thời gian thực với RTOS</t>
  </si>
  <si>
    <t>Real-Time Multitasking Application with an RTOS</t>
  </si>
  <si>
    <t>A6-P01 hoặc firmware tương đương có evidence.</t>
  </si>
  <si>
    <t>Task design -&gt; queue/semaphore -&gt; đo đáp ứng thời gian thực -&gt; phân tích.</t>
  </si>
  <si>
    <t>Ứng dụng FreeRTOS/Zephyr &gt;=3 task; phân tích ưu tiên/deadline; đo jitter/latency; báo cáo so sánh với bản super-loop.</t>
  </si>
  <si>
    <t>Thêm watchdog + xử lý lỗi phục hồi được; stress test.</t>
  </si>
  <si>
    <t>C; FreeRTOS hoặc Zephyr; MCU bất kỳ; logic analyzer; Git.</t>
  </si>
  <si>
    <t>Embedded/RTOS engineer; automotive &amp; industrial firmware.</t>
  </si>
  <si>
    <t>A6-P03</t>
  </si>
  <si>
    <t>Giao tiếp phần cứng-phần mềm trên SoC FPGA</t>
  </si>
  <si>
    <t>Memory-Mapped Hardware-Software Communication on a SoC FPGA</t>
  </si>
  <si>
    <t>RTL cơ bản (A1) + firmware cơ bản (A6-P01).</t>
  </si>
  <si>
    <t>A1-P*, A6-P01</t>
  </si>
  <si>
    <t>IP RTL -&gt; kết nối bus (AXI-lite hoặc tương đương) -&gt; driver -&gt; kiểm chứng end-to-end.</t>
  </si>
  <si>
    <t>IP memory-mapped đơn giản (thanh ghi điều khiển/trạng thái); driver C phía processor; test đọc-ghi qua bus; README.</t>
  </si>
  <si>
    <t>Thêm interrupt thay vì polling, đo chênh lệch độ trễ.</t>
  </si>
  <si>
    <t>Verilog; Vivado/Quartus hoặc toolchain SoC FPGA tương đương; Zynq/PYNQ; C/Python; Git.</t>
  </si>
  <si>
    <t>SoC integration; bước đệm bắt buộc cho HW/SW co-design.</t>
  </si>
  <si>
    <t>A6-P04</t>
  </si>
  <si>
    <t>Dựng Linux nhúng trên SoC FPGA và viết driver đơn giản</t>
  </si>
  <si>
    <t>Embedded Linux Bring-Up on a SoC FPGA with a Simple Driver</t>
  </si>
  <si>
    <t>Linux cơ bản; A6-P01; biết khái niệm kernel/user space.</t>
  </si>
  <si>
    <t>Toolchain/BSP -&gt; boot -&gt; device tree -&gt; driver tối giản -&gt; kiểm chứng.</t>
  </si>
  <si>
    <t>Ảnh Linux boot được trên board; driver ký tự hoặc UIO nói chuyện với một IP; log kiểm chứng; hướng dẫn dựng lại từ đầu.</t>
  </si>
  <si>
    <t>Đóng gói bằng Buildroot/Yocto để build tái lập một lệnh.</t>
  </si>
  <si>
    <t>Linux; Buildroot hoặc PetaLinux/Yocto; Zynq/PYNQ; C; Git.</t>
  </si>
  <si>
    <t>Embedded Linux/BSP engineer — mảng tuyển dụng lớn của nghề nhúng.</t>
  </si>
  <si>
    <t>A6-I01</t>
  </si>
  <si>
    <t>Thực tập phát triển sản phẩm nhúng theo quy trình kỹ sư</t>
  </si>
  <si>
    <t>Embedded Product Development Internship</t>
  </si>
  <si>
    <t>A6-P01 + một trong A6-P02/P03; cam kết giờ/tuần.</t>
  </si>
  <si>
    <t>Trọng tâm là tác phong: issue tracker, code review, test trước khi merge, báo cáo tuần.</t>
  </si>
  <si>
    <t>Sản phẩm nhúng nhỏ đi trọn quy trình: yêu cầu -&gt; thiết kế -&gt; firmware -&gt; kiểm thử -&gt; tài liệu; nhật ký tuần; repo Git kỷ luật.</t>
  </si>
  <si>
    <t>Thêm CI chạy unit test firmware trên mỗi commit.</t>
  </si>
  <si>
    <t>C; MCU tự chọn; GitHub/GitLab + CI; framework test (Unity/Ceedling hoặc tương đương).</t>
  </si>
  <si>
    <t>Chuẩn bị trực tiếp cho vị trí embedded engineer.</t>
  </si>
  <si>
    <t>A6-T01</t>
  </si>
  <si>
    <t>Thiết kế hệ thống nhúng điều khiển và thu thập dữ liệu hoàn chỉnh</t>
  </si>
  <si>
    <t>Design of a Complete Embedded Control and Data-Acquisition System</t>
  </si>
  <si>
    <t>A6-P01 + A6-P02 hoặc tương đương có evidence.</t>
  </si>
  <si>
    <t>A6-P01, A6-P02</t>
  </si>
  <si>
    <t>Bài toán điều khiển-thu thập dữ liệu cụ thể do mentor chốt; đi trọn từ yêu cầu đến đánh giá định lượng.</t>
  </si>
  <si>
    <t>Hệ thống nhúng chạy thật (&gt;=2 ngoại vi, RTOS hoặc kiến trúc phần mềm rõ); kiểm thử hệ thống; đo hiệu năng/độ tin cậy; khóa luận; repo tái lập.</t>
  </si>
  <si>
    <t>Specification + kiến trúc phần mềm; firmware đầy đủ chức năng lõi; driver &gt;=2 ngoại vi tự viết hoặc hiểu sâu; kế hoạch + kết quả kiểm thử hệ thống; số liệu hiệu năng (đáp ứng, độ tin cậy); repository có README và hướng dẫn tái lập.</t>
  </si>
  <si>
    <t>Chỉ mở sau baseline: low-power mode hoặc failsafe + phân tích định lượng.</t>
  </si>
  <si>
    <t>C; MCU + RTOS; logic analyzer; thiết bị đo phù hợp; Git.</t>
  </si>
  <si>
    <t>Embedded systems engineer.</t>
  </si>
  <si>
    <t>A6-T02</t>
  </si>
  <si>
    <t>Tích hợp bộ tăng tốc phần cứng tùy biến vào SoC FPGA</t>
  </si>
  <si>
    <t>Integrating a Custom Hardware Accelerator into a SoC FPGA</t>
  </si>
  <si>
    <t>A6-P03 + nền FPGA (A3-P* hoặc tương đương).</t>
  </si>
  <si>
    <t>A6-P03, A3-P*</t>
  </si>
  <si>
    <t>HW/SW co-design nhập môn: chọn hàm nặng -&gt; offload xuống phần cứng -&gt; đo bằng cùng một benchmark.</t>
  </si>
  <si>
    <t>Baseline phần mềm có profile; IP accelerator RTL; driver + tích hợp; benchmark speedup; phân tích trade-off tài nguyên/độ trễ; khóa luận; repo.</t>
  </si>
  <si>
    <t>Baseline phần mềm + số liệu profile; RTL accelerator + testbench; tích hợp bus + driver chạy đúng; bảng speedup và tài nguyên so với baseline; phân tích điểm nghẽn; repository tái lập.</t>
  </si>
  <si>
    <t>So sánh hai kiến trúc accelerator hoặc thêm DMA, chỉ sau baseline sign-off.</t>
  </si>
  <si>
    <t>Verilog; Zynq/PYNQ; C/Python; profiler; Git.</t>
  </si>
  <si>
    <t>SoC/FPGA engineer; nền tảng cho hướng luận án co-design.</t>
  </si>
  <si>
    <t>A6-R01</t>
  </si>
  <si>
    <t>Nghiên cứu phân hoạch phần cứng/phần mềm cho ứng dụng nhúng</t>
  </si>
  <si>
    <t>Hardware/Software Partitioning Study for an Embedded Application</t>
  </si>
  <si>
    <t>A6-T02 hoặc tương đương; tư duy thí nghiệm có kiểm soát.</t>
  </si>
  <si>
    <t>Trả lời: với một lớp ứng dụng cụ thể, ranh giới HW/SW đặt ở đâu thì tối ưu theo tiêu chí nào?</t>
  </si>
  <si>
    <t>Research question rõ; phương pháp phân hoạch + tiêu chí; &gt;=2 phương án phân hoạch đo trên cùng benchmark; phân tích PPA/latency/energy; báo cáo nghiên cứu.</t>
  </si>
  <si>
    <t>Đề xuất heuristic phân hoạch và kiểm chứng trên ứng dụng thứ hai.</t>
  </si>
  <si>
    <t>Zynq/PYNQ; profiler; RTL; đo năng lượng; Python phân tích.</t>
  </si>
  <si>
    <t>Hướng nghiên cứu hệ thống nhúng/co-design; chấp nhận kết quả phủ định.</t>
  </si>
  <si>
    <t>A7-P01</t>
  </si>
  <si>
    <t>Nút cảm biến IoT truyền dữ liệu qua MQTT</t>
  </si>
  <si>
    <t>IoT Sensor Node Publishing Data over MQTT</t>
  </si>
  <si>
    <t>A6-P01 hoặc firmware tương đương; mạng cơ bản.</t>
  </si>
  <si>
    <t>Cảm biến -&gt; firmware -&gt; Wi-Fi/MQTT -&gt; hiển thị; trọng tâm là chạy ổn định, không phải demo một lần.</t>
  </si>
  <si>
    <t>Node ESP32/STM32 đọc cảm biến thật, publish MQTT có xử lý mất kết nối; broker + dashboard tối giản; log chạy &gt;=48h; README.</t>
  </si>
  <si>
    <t>Thêm OTA update hoặc TLS cơ bản.</t>
  </si>
  <si>
    <t>ESP32 hoặc tương đương; C/MicroPython; Mosquitto; Node-RED/Grafana; Git.</t>
  </si>
  <si>
    <t>IoT engineer; cửa vào của trục IoT.</t>
  </si>
  <si>
    <t>A7-P02</t>
  </si>
  <si>
    <t>Đo và tối ưu năng lượng cho nút IoT chạy pin</t>
  </si>
  <si>
    <t>Energy Measurement and Optimization for a Battery-Powered IoT Node</t>
  </si>
  <si>
    <t>A7-P01; đọc hiểu datasheet phần nguồn.</t>
  </si>
  <si>
    <t>Đo thật bằng thiết bị đo dòng, không ước lượng chay từ datasheet.</t>
  </si>
  <si>
    <t>Current profile từng trạng thái (active/tx/sleep); chiến lược duty-cycle; bảng ước tính thời gian sống pin trước/sau tối ưu; báo cáo đo.</t>
  </si>
  <si>
    <t>So sánh hai giao thức hoặc hai chế độ sleep về năng lượng/gói tin.</t>
  </si>
  <si>
    <t>Thiết bị đo dòng (INA219/Power Profiler hoặc tương đương); ESP32/STM32; Python phân tích.</t>
  </si>
  <si>
    <t>Low-power design — kỹ năng đắt giá nhất của nghề IoT.</t>
  </si>
  <si>
    <t>A7-P03</t>
  </si>
  <si>
    <t>Suy luận TinyML trên vi điều khiển</t>
  </si>
  <si>
    <t>TinyML Inference on a Microcontroller</t>
  </si>
  <si>
    <t>A6-P01; Python + ML nhập môn.</t>
  </si>
  <si>
    <t>Train -&gt; convert (TFLite Micro/CMSIS-NN) -&gt; deploy -&gt; đo trên thiết bị thật.</t>
  </si>
  <si>
    <t>Mô hình nhỏ (keyword spotting/gesture) huấn luyện + quantize INT8; chạy trên MCU; bảng accuracy/latency/RAM-Flash; demo; README.</t>
  </si>
  <si>
    <t>So sánh hai kích thước mô hình về accuracy/latency/bộ nhớ.</t>
  </si>
  <si>
    <t>Python/TensorFlow; TFLite Micro hoặc CMSIS-NN; STM32/ESP32; Git.</t>
  </si>
  <si>
    <t>Edge AI engineer; cửa vào cho hướng AI biên.</t>
  </si>
  <si>
    <t>A7-P04</t>
  </si>
  <si>
    <t>Đánh giá kết nối không dây tầm ngắn/tầm xa cho IoT</t>
  </si>
  <si>
    <t>Evaluating Short- and Long-Range Wireless Links for IoT</t>
  </si>
  <si>
    <t>A6-P01 hoặc tương đương.</t>
  </si>
  <si>
    <t>Thiết kế thí nghiệm đo sóng thực địa có kiểm soát — học kỷ luật đo đạc.</t>
  </si>
  <si>
    <t>Thí nghiệm BLE và LoRa (hoặc 2 công nghệ được duyệt): tầm phủ, tỉ lệ mất gói, năng lượng/gói theo khoảng cách; báo cáo so sánh có số liệu.</t>
  </si>
  <si>
    <t>Thêm mô hình suy hao đơn giản khớp với số liệu đo.</t>
  </si>
  <si>
    <t>Module BLE + LoRa; ESP32/STM32; Python phân tích; GPS/thước đo khoảng cách.</t>
  </si>
  <si>
    <t>Wireless/IoT connectivity engineer.</t>
  </si>
  <si>
    <t>A7-I01</t>
  </si>
  <si>
    <t>Thực tập xây dựng hệ thống IoT đầu-cuối</t>
  </si>
  <si>
    <t>End-to-End IoT System Internship</t>
  </si>
  <si>
    <t>A7-P01; cam kết giờ/tuần.</t>
  </si>
  <si>
    <t>Trọng tâm là vận hành tin cậy và tài liệu hóa, đúng tác phong kỹ sư hệ thống.</t>
  </si>
  <si>
    <t>Hệ thống node -&gt; gateway -&gt; lưu trữ -&gt; dashboard vận hành liên tục &gt;=2 tuần; số liệu uptime/mất gói; nhật ký sự cố và cách xử lý; tài liệu vận hành.</t>
  </si>
  <si>
    <t>Cảnh báo tự động khi node mất kết nối.</t>
  </si>
  <si>
    <t>ESP32; MQTT; InfluxDB/SQLite + Grafana hoặc tương đương; Git.</t>
  </si>
  <si>
    <t>IoT/DevOps cho thiết bị.</t>
  </si>
  <si>
    <t>A7-T01</t>
  </si>
  <si>
    <t>Thiết kế và đánh giá hệ thống giám sát IoT đa nút hoàn chỉnh</t>
  </si>
  <si>
    <t>Design and Evaluation of a Complete Multi-Node IoT Monitoring System</t>
  </si>
  <si>
    <t>A7-P01 + A7-P02 hoặc tương đương.</t>
  </si>
  <si>
    <t>A7-P01, A7-P02</t>
  </si>
  <si>
    <t>Bài toán giám sát cụ thể do mentor chốt (môi trường/năng lượng/nông nghiệp...); chạy thật nhiều ngày, số liệu thật.</t>
  </si>
  <si>
    <t>Hệ thống &gt;=3 node chạy pin + gateway + dashboard; đánh giá định lượng: uptime, mất gói, thời gian sống pin; khóa luận; repo + tài liệu triển khai.</t>
  </si>
  <si>
    <t>Kiến trúc hệ thống + spec; &gt;=3 node chạy pin hoạt động; gateway + lưu trữ + dashboard; số liệu vận hành &gt;=7 ngày (uptime, mất gói, năng lượng); phân tích điểm yếu; repository và tài liệu triển khai tái lập.</t>
  </si>
  <si>
    <t>Chỉ mở sau baseline: tối ưu năng lượng có so sánh, hoặc dự đoán bất thường đơn giản tại gateway.</t>
  </si>
  <si>
    <t>ESP32/STM32; MQTT/LoRa tùy bài; thiết bị đo dòng; backend + dashboard; Git.</t>
  </si>
  <si>
    <t>IoT solution engineer.</t>
  </si>
  <si>
    <t>A7-T02</t>
  </si>
  <si>
    <t>Triển khai và tối ưu mô hình AI gọn nhẹ trên thiết bị biên</t>
  </si>
  <si>
    <t>Deploying and Optimizing a Lightweight AI Model on an Edge Device</t>
  </si>
  <si>
    <t>A7-P03 hoặc tương đương.</t>
  </si>
  <si>
    <t>Một bài toán suy luận cụ thể trên MCU hoặc SoC FPGA; đánh giá trên thiết bị thật, không chỉ trên máy tính.</t>
  </si>
  <si>
    <t>Pipeline train-&gt;quantize-&gt;deploy tái lập; so sánh có hệ thống float/INT8 (accuracy, latency, RAM/Flash, năng lượng/suy luận); khóa luận; repo.</t>
  </si>
  <si>
    <t>Baseline float trên máy + trên thiết bị; bản INT8 chạy trên thiết bị; bảng accuracy/latency/bộ nhớ/năng lượng cho từng bản; phân tích trade-off; pipeline tái lập một lệnh; repository có README.</t>
  </si>
  <si>
    <t>Chỉ mở sau baseline: pruning/kiến trúc thay thế, hoặc chuyển một lớp nặng xuống phần cứng (nối sang AB-T05).</t>
  </si>
  <si>
    <t>Python/TensorFlow; TFLite Micro/CMSIS-NN; MCU hoặc Zynq; thiết bị đo dòng; Git.</t>
  </si>
  <si>
    <t>Edge AI/embedded ML engineer.</t>
  </si>
  <si>
    <t>A7-R01</t>
  </si>
  <si>
    <t>Nghiên cứu đánh đổi độ chính xác – năng lượng – độ trễ cho suy luận tại biên</t>
  </si>
  <si>
    <t>Accuracy-Energy-Latency Trade-offs for On-Device Inference</t>
  </si>
  <si>
    <t>A7-T02 hoặc tương đương; kỷ luật thí nghiệm.</t>
  </si>
  <si>
    <t>Trả lời: với ngân sách năng lượng cho trước của thiết bị biên, cấu hình suy luận nào tối ưu và vì sao?</t>
  </si>
  <si>
    <t>Research question + giả thuyết; ma trận thí nghiệm (mô hình × mức quantize × tần số/điện áp nếu có); đường cong trade-off; phân tích và khuyến nghị thiết kế; báo cáo nghiên cứu.</t>
  </si>
  <si>
    <t>Kiểm chứng khuyến nghị trên bài toán thứ hai khác phân phối dữ liệu.</t>
  </si>
  <si>
    <t>TFLite Micro; MCU/SoC FPGA; thiết bị đo dòng; Python phân tích.</t>
  </si>
  <si>
    <t>Hướng nghiên cứu edge AI hardware-aware; chấp nhận kết quả phủ định.</t>
  </si>
  <si>
    <t>B0-P01</t>
  </si>
  <si>
    <t>B0</t>
  </si>
  <si>
    <t>Mô phỏng Polar Encoder</t>
  </si>
  <si>
    <t>Simulation of a Polar Encoder</t>
  </si>
  <si>
    <t>Python/MATLAB basics; binary operations.</t>
  </si>
  <si>
    <t>Implement polar transform and validate on small N.</t>
  </si>
  <si>
    <t>Encoder implementation; known-vector validation; report.</t>
  </si>
  <si>
    <t>Parameterize N/K.</t>
  </si>
  <si>
    <t>Python hoặc MATLAB; NumPy/SciPy tương đương; plotting; Git.</t>
  </si>
  <si>
    <t>Thuật toán truyền thông; nền nghiên cứu coding theory.</t>
  </si>
  <si>
    <t>B0-P02</t>
  </si>
  <si>
    <t>Mô phỏng BPSK/AWGN và tính LLR</t>
  </si>
  <si>
    <t>BPSK/AWGN Simulation and LLR Computation</t>
  </si>
  <si>
    <t>Digital comm basics.</t>
  </si>
  <si>
    <t>Build verified channel/LLR block for later decoder work.</t>
  </si>
  <si>
    <t>Channel simulation; LLR sanity checks; plots.</t>
  </si>
  <si>
    <t>Compare exact/approximate LLR when relevant.</t>
  </si>
  <si>
    <t>B0-P03</t>
  </si>
  <si>
    <t>Xây dựng SC decoder cơ bản bằng MATLAB/Python</t>
  </si>
  <si>
    <t>Basic SC Decoder in MATLAB/Python</t>
  </si>
  <si>
    <t>B0-P01/P02 or equivalent.</t>
  </si>
  <si>
    <t>B0-P01, B0-P02</t>
  </si>
  <si>
    <t>Correct recursive/iterative SC baseline.</t>
  </si>
  <si>
    <t>SC decoder; unit tests; small BER/BLER result.</t>
  </si>
  <si>
    <t>Complexity profiling.</t>
  </si>
  <si>
    <t>B0-I01</t>
  </si>
  <si>
    <t>Xây dựng bộ mô phỏng Polar Code có khả năng tái lập</t>
  </si>
  <si>
    <t>Reproducible Polar Code Simulation Framework</t>
  </si>
  <si>
    <t>Python/MATLAB; SC basics; Git.</t>
  </si>
  <si>
    <t>One-command repeatable baseline framework.</t>
  </si>
  <si>
    <t>Configurable N/K/EbN0; seeded runs; BER/BLER; README; scripts.</t>
  </si>
  <si>
    <t>Automated sweeps and result archival.</t>
  </si>
  <si>
    <t>B0-T01</t>
  </si>
  <si>
    <t>Xây dựng và đánh giá hệ thống Polar Code sử dụng SC decoding</t>
  </si>
  <si>
    <t>Software Modeling and Performance Evaluation of Polar Codes with SC Decoding</t>
  </si>
  <si>
    <t>Digital comm + Python/MATLAB.</t>
  </si>
  <si>
    <t>Foundation thesis for students not yet ready for RTL.</t>
  </si>
  <si>
    <t>Full encode-channel-decode chain; validation; BER/BLER sweeps; complexity discussion; legacy package.</t>
  </si>
  <si>
    <t>Reusable simulator; BER/BLER curves; Unit tests/golden vectors; Technical note về SC flow; Dataset/test vectors cho hardware track.</t>
  </si>
  <si>
    <t>Add quantization or controlled SC improvement.</t>
  </si>
  <si>
    <t>Python hoặc MATLAB, Git.</t>
  </si>
  <si>
    <t>B1</t>
  </si>
  <si>
    <t>B1-P01</t>
  </si>
  <si>
    <t>Thiết kế Polar Encoder RTL</t>
  </si>
  <si>
    <t>RTL Design of a Polar Encoder</t>
  </si>
  <si>
    <t>B0 encoder + RTL.</t>
  </si>
  <si>
    <t>Translate polar transform to hardware.</t>
  </si>
  <si>
    <t>RTL encoder; golden vectors; testbench; synthesis.</t>
  </si>
  <si>
    <t>Pipeline/resource sharing.</t>
  </si>
  <si>
    <t>Python/MATLAB golden model; Verilog/SystemVerilog; simulator; FPGA toolchain.</t>
  </si>
  <si>
    <t>Hardware architecture cho coding; RTL cho khối giải mã.</t>
  </si>
  <si>
    <t>B1-P02</t>
  </si>
  <si>
    <t>Thiết kế f Processing Element</t>
  </si>
  <si>
    <t>RTL Design of the Polar f Processing Element</t>
  </si>
  <si>
    <t>SC f-function understanding + fixed-point basics.</t>
  </si>
  <si>
    <t>Implement exact/min-sum form appropriate to scope.</t>
  </si>
  <si>
    <t>Reference f; RTL; exhaustive/random tests; synthesis.</t>
  </si>
  <si>
    <t>Pipeline/precision variants.</t>
  </si>
  <si>
    <t>B1-P03</t>
  </si>
  <si>
    <t>Thiết kế g Processing Element</t>
  </si>
  <si>
    <t>RTL Design of the Polar g Processing Element</t>
  </si>
  <si>
    <t>SC g-function + fixed-point.</t>
  </si>
  <si>
    <t>Handle partial sum/control input correctly.</t>
  </si>
  <si>
    <t>Reference g; RTL; tests; synthesis.</t>
  </si>
  <si>
    <t>Precision variants.</t>
  </si>
  <si>
    <t>B1-P04</t>
  </si>
  <si>
    <t>Thiết kế Partial-Sum Unit</t>
  </si>
  <si>
    <t>RTL Design of a Partial-Sum Unit</t>
  </si>
  <si>
    <t>SC graph/partial sums + RTL.</t>
  </si>
  <si>
    <t>Create correct partial-sum update module.</t>
  </si>
  <si>
    <t>Architecture; RTL; tests; synthesis.</t>
  </si>
  <si>
    <t>Memory/control optimization.</t>
  </si>
  <si>
    <t>B1-I01</t>
  </si>
  <si>
    <t>Thiết kế và kiểm chứng f/g Processing Elements trên FPGA</t>
  </si>
  <si>
    <t>Design and Verification of Polar f/g Processing Elements on FPGA</t>
  </si>
  <si>
    <t>B1-P + FPGA.</t>
  </si>
  <si>
    <t>B1-P*</t>
  </si>
  <si>
    <t>Implement and validate hardware PEs.</t>
  </si>
  <si>
    <t>Golden co-verification; FPGA synthesis; resource/Fmax; report.</t>
  </si>
  <si>
    <t>Compare exact vs min-sum or precisions.</t>
  </si>
  <si>
    <t>B1-T01</t>
  </si>
  <si>
    <t>Thiết kế Polar Encoder trên FPGA</t>
  </si>
  <si>
    <t>FPGA Design and Verification of a Polar Encoder</t>
  </si>
  <si>
    <t>B0 + RTL + FPGA.</t>
  </si>
  <si>
    <t>Compare at least one architectural decision where feasible.</t>
  </si>
  <si>
    <t>Architecture; RTL; verification; FPGA; resource/Fmax/latency/throughput.</t>
  </si>
  <si>
    <t>Golden encoder; RTL + testbench; FPGA resource/Fmax/latency; Architecture explanation; Demo hoặc co-simulation.</t>
  </si>
  <si>
    <t>ASIC feasibility or pipelining.</t>
  </si>
  <si>
    <t>B2</t>
  </si>
  <si>
    <t>B1-T02</t>
  </si>
  <si>
    <t>Thiết kế và đánh giá f/g Processing Elements cho Polar Decoder</t>
  </si>
  <si>
    <t>Design and Evaluation of Processing Elements for Polar Decoders</t>
  </si>
  <si>
    <t>B0 SC + fixed-point + RTL.</t>
  </si>
  <si>
    <t>Connect numerical approximation to hardware cost.</t>
  </si>
  <si>
    <t>Exact/min-sum/reference; fixed-point RTL; timing/area/resource; BLER impact via model.</t>
  </si>
  <si>
    <t>PE RTL; Verification suite; Error statistics; PPA/timing comparison; BLER impact analysis.</t>
  </si>
  <si>
    <t>ASIC PPA or broader bit-width sweep.</t>
  </si>
  <si>
    <t>Python/MATLAB, Verilog, simulator, synthesis/STA.</t>
  </si>
  <si>
    <t>B5</t>
  </si>
  <si>
    <t>B2-I01</t>
  </si>
  <si>
    <t>Xây dựng kiến trúc SC decoder theo từng module</t>
  </si>
  <si>
    <t>Modular Construction of an SC Polar Decoder Architecture</t>
  </si>
  <si>
    <t>B0 + B1.</t>
  </si>
  <si>
    <t>B0-P03, B1-P*</t>
  </si>
  <si>
    <t>Assemble decoder incrementally, not monolithically.</t>
  </si>
  <si>
    <t>Module interfaces; f/g/partial-sum/control integration tests; documentation.</t>
  </si>
  <si>
    <t>Automation of vector tests.</t>
  </si>
  <si>
    <t>Python/MATLAB; Verilog/SystemVerilog; simulator; FPGA tools; Git.</t>
  </si>
  <si>
    <t>Decoder hardware architecture trên FPGA.</t>
  </si>
  <si>
    <t>B2-T01</t>
  </si>
  <si>
    <t>Thiết kế bộ giải mã SC Polar trên FPGA</t>
  </si>
  <si>
    <t>FPGA Architecture and Implementation of an SC Polar Decoder</t>
  </si>
  <si>
    <t>Correct SC software baseline; B1; strong RTL.</t>
  </si>
  <si>
    <t>Complete hardware-oriented SC decoder at manageable N/K.</t>
  </si>
  <si>
    <t>Golden model; fixed-point; RTL decoder; co-verification; FPGA; BER/BLER + resource/Fmax/latency/throughput.</t>
  </si>
  <si>
    <t>SC golden model; RTL decoder hoặc subsystem đủ lớn; Test vectors + co-verification; Resource/Fmax/latency/throughput; Architecture report.</t>
  </si>
  <si>
    <t>Optimization only after correctness.</t>
  </si>
  <si>
    <t>Python/MATLAB, Verilog/SystemVerilog, simulator, FPGA tool.</t>
  </si>
  <si>
    <t>B3</t>
  </si>
  <si>
    <t>B2-T02</t>
  </si>
  <si>
    <t>Software-RTL co-verification cho SC Polar decoder</t>
  </si>
  <si>
    <t>Software-RTL Co-Verification for an SC Polar Decoder</t>
  </si>
  <si>
    <t>SC model + RTL modules + scripting.</t>
  </si>
  <si>
    <t>Focus on verification methodology and reproducibility.</t>
  </si>
  <si>
    <t>Automated vector generation; RTL comparison; regression; mismatch diagnosis; report.</t>
  </si>
  <si>
    <t>Khung co-verification tự động SC software ↔ RTL với regression cho tối thiểu các module f/g/partial-sum và một cấu hình decoder nhỏ.</t>
  </si>
  <si>
    <t>CI regression.</t>
  </si>
  <si>
    <t>B2-R01</t>
  </si>
  <si>
    <t>Architecture optimization cho SC decoder</t>
  </si>
  <si>
    <t>Architecture Optimization for an SC Polar Decoder</t>
  </si>
  <si>
    <t>Stable B2-T01-like baseline.</t>
  </si>
  <si>
    <t>Quantify area-latency-throughput trade-offs.</t>
  </si>
  <si>
    <t>2+ architectures or parallelism/resource-sharing configurations; controlled evaluation.</t>
  </si>
  <si>
    <t>Design-space search.</t>
  </si>
  <si>
    <t>B3-P01</t>
  </si>
  <si>
    <t>Khảo sát quantization của LLR</t>
  </si>
  <si>
    <t>LLR Quantization Study for Polar Decoding</t>
  </si>
  <si>
    <t>SC software baseline.</t>
  </si>
  <si>
    <t>Sweep precision/saturation and observe BER/BLER.</t>
  </si>
  <si>
    <t>Floating vs 3/4/5/6-bit results; plots; explanation.</t>
  </si>
  <si>
    <t>Optimize clipping range.</t>
  </si>
  <si>
    <t>Python/MATLAB; RTL/FPGA tools khi cần; scripts sweep và plotting.</t>
  </si>
  <si>
    <t>Hardware-aware algorithm engineering; fixed-point optimization.</t>
  </si>
  <si>
    <t>B3-I01</t>
  </si>
  <si>
    <t>Fixed-point implementation của Polar processing elements</t>
  </si>
  <si>
    <t>Fixed-Point Implementation of Polar Processing Elements</t>
  </si>
  <si>
    <t>B1 + numerical analysis.</t>
  </si>
  <si>
    <t>Translate quantization decisions to implementation.</t>
  </si>
  <si>
    <t>Fixed-point reference; RTL or synthesizable model; error tests; resource.</t>
  </si>
  <si>
    <t>Multiple Q-formats.</t>
  </si>
  <si>
    <t>B3-T01</t>
  </si>
  <si>
    <t>Phân tích lượng tử hóa LLR cho hardware-efficient Polar decoding</t>
  </si>
  <si>
    <t>Fixed-Point LLR Quantization Analysis for Hardware-Efficient Polar Decoding</t>
  </si>
  <si>
    <t>Correct SC baseline; scripted experiments.</t>
  </si>
  <si>
    <t>Find minimum practical precision under defined performance loss.</t>
  </si>
  <si>
    <t>BLER/BER vs bit-width; complexity/hardware proxy; controlled analysis; thesis.</t>
  </si>
  <si>
    <t>Quantization framework; BLER curves theo bit-width; Hardware-cost proxy hoặc synthesis; Recommendation bit-width/range.</t>
  </si>
  <si>
    <t>RTL/FPGA validation of selected points.</t>
  </si>
  <si>
    <t>Python/MATLAB, tùy chọn Verilog/Yosys/FPGA.</t>
  </si>
  <si>
    <t>B4</t>
  </si>
  <si>
    <t>B3-T02</t>
  </si>
  <si>
    <t>Tối ưu fixed-point cho SC Polar decoder</t>
  </si>
  <si>
    <t>Fixed-Point Optimization of an SC Polar Decoder</t>
  </si>
  <si>
    <t>B2 or equivalent decoder + B3 basics.</t>
  </si>
  <si>
    <t>Jointly tune multiple numerical formats without changing decoder logic.</t>
  </si>
  <si>
    <t>LLR/intermediate widths; saturation/clipping; BLER; resource/timing estimates.</t>
  </si>
  <si>
    <t>Cấu hình fixed-point (LLR + intermediate) cho SC decoder chạy đúng, kèm bảng BLER và ước lượng resource cho tối thiểu 3 cấu hình.</t>
  </si>
  <si>
    <t>Automated search/Pareto analysis.</t>
  </si>
  <si>
    <t>B3-R01</t>
  </si>
  <si>
    <t>Adaptive-precision Polar decoding</t>
  </si>
  <si>
    <t>Adaptive-Precision Polar Decoding</t>
  </si>
  <si>
    <t>Strong B3-T baseline; research readiness.</t>
  </si>
  <si>
    <t>B3-T*</t>
  </si>
  <si>
    <t>Ask whether all frames/channel states need the same precision.</t>
  </si>
  <si>
    <t>Baseline fixed precision; adaptation rule; BLER/average-cost analysis; reproducible experiments.</t>
  </si>
  <si>
    <t>Hardware-aware implementation if evidence supports it.</t>
  </si>
  <si>
    <t>B4-P01</t>
  </si>
  <si>
    <t>Phân tích các lỗi SC decoding</t>
  </si>
  <si>
    <t>Failure Analysis of SC Polar Decoding</t>
  </si>
  <si>
    <t>Correct SC baseline.</t>
  </si>
  <si>
    <t>Identify where/when first decision errors occur.</t>
  </si>
  <si>
    <t>Failure cases; reliability traces; categorized analysis.</t>
  </si>
  <si>
    <t>Correlate with channel/reliability features.</t>
  </si>
  <si>
    <t>Python/MATLAB; Git; plotting; RTL/FPGA tùy scope.</t>
  </si>
  <si>
    <t>Nghiên cứu thuật toán decoding (SC-Flip/reliability).</t>
  </si>
  <si>
    <t>B4-P02</t>
  </si>
  <si>
    <t>Reliability ranking dựa trên trị tuyệt đối LLR</t>
  </si>
  <si>
    <t>Reliability Ranking Based on LLR Magnitude</t>
  </si>
  <si>
    <t>SC baseline + basic statistics.</t>
  </si>
  <si>
    <t>Build transparent heuristic baseline.</t>
  </si>
  <si>
    <t>Candidate ranking; Top-k metrics; plots.</t>
  </si>
  <si>
    <t>Alternative reliability metrics.</t>
  </si>
  <si>
    <t>B4-I01</t>
  </si>
  <si>
    <t>Xây dựng SC-Flip software decoder</t>
  </si>
  <si>
    <t>Software Implementation of an SC-Flip Polar Decoder</t>
  </si>
  <si>
    <t>SC baseline; candidate ranking.</t>
  </si>
  <si>
    <t>SC -&gt; candidate -&gt; flip -&gt; re-decode.</t>
  </si>
  <si>
    <t>SCF code; validation; BLER/attempts; reproducible scripts.</t>
  </si>
  <si>
    <t>CRC-assisted variant if scope allows.</t>
  </si>
  <si>
    <t>B4-T01</t>
  </si>
  <si>
    <t>Thiết kế và đánh giá SC-Flip Polar decoder</t>
  </si>
  <si>
    <t>Design and Performance Evaluation of SC-Flip Polar Decoding</t>
  </si>
  <si>
    <t>B4-I01-level baseline; experimental discipline.</t>
  </si>
  <si>
    <t>Evaluate reliability-based re-decoding under controlled settings.</t>
  </si>
  <si>
    <t>SC vs SCF; BLER; attempts; latency/complexity proxy; analysis.</t>
  </si>
  <si>
    <t>SCF simulator; Candidate-ranking analysis; BLER/complexity plots; Average attempts/latency proxy; Conclusion về reliability metric.</t>
  </si>
  <si>
    <t>Hardware mapping or improved metric.</t>
  </si>
  <si>
    <t>Python/MATLAB, Git.</t>
  </si>
  <si>
    <t>B6</t>
  </si>
  <si>
    <t>B4-T02</t>
  </si>
  <si>
    <t>Reliability-based candidate ranking cho SC-Flip</t>
  </si>
  <si>
    <t>Reliability-Based Candidate Ranking for SC-Flip Polar Decoding</t>
  </si>
  <si>
    <t>Stable SCF framework.</t>
  </si>
  <si>
    <t>Compare transparent ranking metrics.</t>
  </si>
  <si>
    <t>Top-1/Top-k ranking; BLER; attempts; baselines; thesis.</t>
  </si>
  <si>
    <t>Ranking dataset; Baseline + proposed/simple metrics; Top-k results; BLER vs attempts; Complexity discussion.</t>
  </si>
  <si>
    <t>Lightweight ML only after strong heuristic baselines.</t>
  </si>
  <si>
    <t>Python/MATLAB.</t>
  </si>
  <si>
    <t>B8</t>
  </si>
  <si>
    <t>B4-R01</t>
  </si>
  <si>
    <t>Improved reliability metric cho SCF</t>
  </si>
  <si>
    <t>Improved Reliability Metrics for SC-Flip Decoding</t>
  </si>
  <si>
    <t>B4-T-level baseline + literature skill.</t>
  </si>
  <si>
    <t>B4-T*</t>
  </si>
  <si>
    <t>Use LLR/path/CRC/other valid decoder-state information.</t>
  </si>
  <si>
    <t>New/combined metric; ablation; statistical evaluation; paper-ready figures.</t>
  </si>
  <si>
    <t>Hardware-cost-aware metric.</t>
  </si>
  <si>
    <t>B5-P01</t>
  </si>
  <si>
    <t>Thiết kế unreliable-frame detector dựa trên threshold</t>
  </si>
  <si>
    <t>Threshold-Based Unreliable-Frame Detection</t>
  </si>
  <si>
    <t>SC baseline; reliability features.</t>
  </si>
  <si>
    <t>Start with transparent threshold baseline.</t>
  </si>
  <si>
    <t>Detector; ROC/trigger metrics or suitable classification metrics; plots.</t>
  </si>
  <si>
    <t>Multi-feature logistic regression.</t>
  </si>
  <si>
    <t>Python/MATLAB; experiment scripts; RTL/FPGA model tùy scope.</t>
  </si>
  <si>
    <t>Adaptive decoding research; cân bằng thuật toán-phần cứng.</t>
  </si>
  <si>
    <t>B5-I01</t>
  </si>
  <si>
    <t>Xây dựng adaptive SC/SCF simulation framework</t>
  </si>
  <si>
    <t>Adaptive SC/SCF Simulation Framework</t>
  </si>
  <si>
    <t>SC + SCF stable.</t>
  </si>
  <si>
    <t>Infrastructure for selective enhanced decoding.</t>
  </si>
  <si>
    <t>Reliable/unreliable branch framework; seeded experiments; activation statistics; docs.</t>
  </si>
  <si>
    <t>Hardware-cost accounting.</t>
  </si>
  <si>
    <t>B5-T01</t>
  </si>
  <si>
    <t>Phát hiện frame không tin cậy cho adaptive Polar decoding</t>
  </si>
  <si>
    <t>Unreliable-Frame Detection for Adaptive Polar Decoding</t>
  </si>
  <si>
    <t>B5-P/I baseline; controlled experiments.</t>
  </si>
  <si>
    <t>Predict whether stronger decoding is worth invoking.</t>
  </si>
  <si>
    <t>Feature study; threshold/logistic baseline; detection/false trigger/missed trigger/activation/BLER.</t>
  </si>
  <si>
    <t>Dataset/features; Detector baseline; ROC/F1 hoặc metric phù hợp; Activation rate + BLER + average cost; Adaptive policy report.</t>
  </si>
  <si>
    <t>Lightweight NN if justified.</t>
  </si>
  <si>
    <t>Python/MATLAB; scikit-learn hoặc mô hình nhẹ tương đương.</t>
  </si>
  <si>
    <t>B7</t>
  </si>
  <si>
    <t>B5-T02</t>
  </si>
  <si>
    <t>Adaptive decoder chỉ kích hoạt enhanced processing trên frame khó</t>
  </si>
  <si>
    <t>Adaptive Polar Decoding with Selective Enhanced Processing</t>
  </si>
  <si>
    <t>SC/SCF + reliable detector.</t>
  </si>
  <si>
    <t>Compare fixed strong decoder vs selective processing.</t>
  </si>
  <si>
    <t>End-to-end adaptive framework; BLER; activation rate; avg attempts/latency/complexity.</t>
  </si>
  <si>
    <t>Adaptive decoder simulator; Threshold/policy study; BLER/activation/cost curves; Comparison với SC và always-enhanced.</t>
  </si>
  <si>
    <t>Hardware-aware energy/resource model.</t>
  </si>
  <si>
    <t>Python/MATLAB; tùy chọn RTL cost model.</t>
  </si>
  <si>
    <t>B9</t>
  </si>
  <si>
    <t>B5-T03</t>
  </si>
  <si>
    <t>Đồng thiết kế thuật toán - phần cứng cho bộ giải mã Polar thích ứng</t>
  </si>
  <si>
    <t>Algorithm-Hardware Co-Design of an Adaptive Polar Decoder</t>
  </si>
  <si>
    <t>Adaptive decoder baseline (B5); fixed-point; RTL/synthesis; Python.</t>
  </si>
  <si>
    <t>Đánh giá thuật toán adaptive không chỉ bằng BLER mà đồng thời bằng latency, operations, memory và hardware cost; synthesis các critical block hoặc subsystem.</t>
  </si>
  <si>
    <t>Algorithm baseline; operation/memory model; fixed-point/quantization; RTL các critical block; Pareto analysis reliability-cost; co-design recommendations.</t>
  </si>
  <si>
    <t>Algorithm baseline; Hardware cost model; Critical-block RTL; Pareto results; Co-design recommendations.</t>
  </si>
  <si>
    <t>FPGA prototype một subsystem.</t>
  </si>
  <si>
    <t>Python/MATLAB, Verilog, synthesis/FPGA/ASIC tools.</t>
  </si>
  <si>
    <t>B11</t>
  </si>
  <si>
    <t>B5-R01</t>
  </si>
  <si>
    <t>Adaptive Polar decoding dưới ràng buộc hardware</t>
  </si>
  <si>
    <t>Hardware-Constrained Adaptive Polar Decoding</t>
  </si>
  <si>
    <t>Strong B5-T baseline + hardware awareness.</t>
  </si>
  <si>
    <t>B5-T*</t>
  </si>
  <si>
    <t>Improve BLER while controlling average hardware-related cost.</t>
  </si>
  <si>
    <t>Research hypothesis; reproducible baselines; latency/resource/energy proxy; paper-ready analysis.</t>
  </si>
  <si>
    <t>FPGA prototype or joint precision/adaptation.</t>
  </si>
  <si>
    <t>B6-I01</t>
  </si>
  <si>
    <t>Lightweight ML classifier cho unreliable-frame detection</t>
  </si>
  <si>
    <t>Lightweight ML Classifier for Unreliable-Frame Detection</t>
  </si>
  <si>
    <t>B5 threshold baseline + ML basics.</t>
  </si>
  <si>
    <t>ML supports a narrow task; no end-to-end decoder replacement.</t>
  </si>
  <si>
    <t>Train/val/test split; logistic/simple ML/MLP comparisons; reproducible model; metrics.</t>
  </si>
  <si>
    <t>Quantization/model compression.</t>
  </si>
  <si>
    <t>Python; PyTorch/TensorFlow tương đương; baseline scripts; hardware-cost estimation/FPGA tools khi phù hợp.</t>
  </si>
  <si>
    <t>ML-assisted communications; hardware-aware ML.</t>
  </si>
  <si>
    <t>B6-T01</t>
  </si>
  <si>
    <t>Lightweight neural-assisted unreliable-frame detector</t>
  </si>
  <si>
    <t>Lightweight Neural-Assisted Unreliable-Frame Detector</t>
  </si>
  <si>
    <t>B5-T-level baseline + ML + data hygiene.</t>
  </si>
  <si>
    <t>Demonstrate benefit beyond transparent baselines.</t>
  </si>
  <si>
    <t>Heuristic + classical ML + lightweight NN; BLER/activation/model size/inference cost.</t>
  </si>
  <si>
    <t>Detector heuristic + classical ML baseline hoàn chỉnh, so sánh công bằng trên cùng dữ liệu/seed; NN nhẹ chỉ thêm sau khi baseline chốt.</t>
  </si>
  <si>
    <t>FPGA inference feasibility.</t>
  </si>
  <si>
    <t>B6-T02</t>
  </si>
  <si>
    <t>Neural-assisted candidate ranking cho SC-Flip Polar decoder</t>
  </si>
  <si>
    <t>Lightweight Neural-Assisted Candidate Ranking for SC-Flip Polar Decoding</t>
  </si>
  <si>
    <t>B4 stable + ML basics + research readiness.</t>
  </si>
  <si>
    <t>NN ranks candidates only.</t>
  </si>
  <si>
    <t>SC/SCF baselines; Top-k; BLER; attempts; model parameters/ops; thesis.</t>
  </si>
  <si>
    <t>Reproducible dataset split; Heuristic baseline; Lightweight model; Top-k/BLER/complexity comparison; Hardware-feasibility note.</t>
  </si>
  <si>
    <t>Quantized model/hardware implementation.</t>
  </si>
  <si>
    <t>Python, PyTorch, NumPy; tùy chọn synthesis model.</t>
  </si>
  <si>
    <t>B10</t>
  </si>
  <si>
    <t>B6-R01</t>
  </si>
  <si>
    <t>Hardware-aware neural-assisted adaptive Polar decoder</t>
  </si>
  <si>
    <t>Hardware-Aware Neural-Assisted Adaptive Polar Decoder</t>
  </si>
  <si>
    <t>Advanced Research Student</t>
  </si>
  <si>
    <t>B5/B6 baseline; strong research ownership; hardware awareness.</t>
  </si>
  <si>
    <t>Selective lightweight neural assistance under hardware constraints.</t>
  </si>
  <si>
    <t>Research-grade ablation; BLER; activation; latency/ops/memory/resource/energy proxy; reproducibility.</t>
  </si>
  <si>
    <t>FPGA prototype if feasible.</t>
  </si>
  <si>
    <t>B6-R02</t>
  </si>
  <si>
    <t>Algorithm-hardware co-design của neural-assisted Polar decoder</t>
  </si>
  <si>
    <t>Algorithm-Hardware Co-Design of a Neural-Assisted Polar Decoder</t>
  </si>
  <si>
    <t>B6-R01-like maturity + RTL/FPGA capability.</t>
  </si>
  <si>
    <t>Treat network and decoder architecture as co-designed components.</t>
  </si>
  <si>
    <t>Joint algorithm/hardware design space; hardware-aware model selection; implementation evidence.</t>
  </si>
  <si>
    <t>ASIC feasibility.</t>
  </si>
  <si>
    <t>AB-P01</t>
  </si>
  <si>
    <t>AB</t>
  </si>
  <si>
    <t>Đo chi phí một thuật toán trên ba nền tảng: MCU, FPGA, ASIC ước lượng</t>
  </si>
  <si>
    <t>Cost of One Algorithm on Three Platforms: MCU, FPGA, and ASIC Estimate</t>
  </si>
  <si>
    <t>A1-P* + A6-P01; một khối xử lý đã hiểu rõ (FIR hoặc f/g PE).</t>
  </si>
  <si>
    <t>Bài nhập môn co-design: cảm nhận bằng số liệu tại sao cùng một thuật toán có chi phí khác nhau trên từng nền tảng.</t>
  </si>
  <si>
    <t>Cùng một khối xử lý đo trên MCU (cycle/năng lượng), FPGA (tài nguyên/Fmax) và ASIC ước lượng qua synthesis (area/timing); bảng so sánh ba cột + phân tích.</t>
  </si>
  <si>
    <t>Thêm một điểm thiết kế thứ hai (bit width khác) và so lại cả ba nền tảng.</t>
  </si>
  <si>
    <t>C; MCU; Verilog; FPGA toolchain; Yosys + thư viện chuẩn; Python.</t>
  </si>
  <si>
    <t>Tư duy platform-aware — nền của mọi đề tài co-design phía sau.</t>
  </si>
  <si>
    <t>AB-T01</t>
  </si>
  <si>
    <t>ASIC feasibility study cho Polar Processing Element</t>
  </si>
  <si>
    <t>ASIC Feasibility Study of a Polar Processing Element</t>
  </si>
  <si>
    <t>B1 PE + A4 flow.</t>
  </si>
  <si>
    <t>B1-P02, B1-P03, A4-P01</t>
  </si>
  <si>
    <t>Take f/g/partial-sum block through ASIC flow.</t>
  </si>
  <si>
    <t>Verified PE; synthesis; STA; physical implementation; PPA; analysis.</t>
  </si>
  <si>
    <t>Verified Polar RTL block; Synthesis/STA reports; Physical layout/GDSII nếu đạt; PPA analysis; ASIC feasibility conclusion.</t>
  </si>
  <si>
    <t>Precision/pipeline comparison.</t>
  </si>
  <si>
    <t>Python/MATLAB, Verilog, Yosys, LibreLane/OpenROAD, KLayout.</t>
  </si>
  <si>
    <t>B12</t>
  </si>
  <si>
    <t>Algorithm-hardware co-design; Digital IC x communications research.</t>
  </si>
  <si>
    <t>AB-T02</t>
  </si>
  <si>
    <t>FPGA-to-ASIC evaluation của Polar Encoder</t>
  </si>
  <si>
    <t>FPGA-to-ASIC Evaluation of a Polar Encoder</t>
  </si>
  <si>
    <t>B1-T01 + A4 basics.</t>
  </si>
  <si>
    <t>B1-T01, A4-P01</t>
  </si>
  <si>
    <t>Same functional design evaluated on FPGA and ASIC flow.</t>
  </si>
  <si>
    <t>FPGA metrics + ASIC PPA; methodology comparison; report.</t>
  </si>
  <si>
    <t>Encoder đã verify + số liệu FPGA + ASIC synthesis/STA cho một cấu hình; bảng so sánh phương pháp đo hai flow.</t>
  </si>
  <si>
    <t>Architecture variants.</t>
  </si>
  <si>
    <t>Python/MATLAB; RTL; FPGA; Yosys; LibreLane/OpenROAD; KLayout.</t>
  </si>
  <si>
    <t>AB-T03</t>
  </si>
  <si>
    <t>FPGA-to-ASIC evaluation của SC Polar Decoder</t>
  </si>
  <si>
    <t>FPGA-to-ASIC Evaluation of an SC Polar Decoder</t>
  </si>
  <si>
    <t>B2-T01 + A4; scope control essential.</t>
  </si>
  <si>
    <t>B2-T01, A4-T01</t>
  </si>
  <si>
    <t>May use reduced N or core subsystem to fit 15 weeks.</t>
  </si>
  <si>
    <t>Selected decoder/core; FPGA and ASIC evidence; trade-off analysis.</t>
  </si>
  <si>
    <t>Một decoder/core subsystem (cho phép N thu gọn) qua cả FPGA và ASIC flow với evidence PPA hai phía.</t>
  </si>
  <si>
    <t>Optimization after reproducible baseline.</t>
  </si>
  <si>
    <t>AB-T04</t>
  </si>
  <si>
    <t>PPA optimization cho fixed-point Polar Processing Element</t>
  </si>
  <si>
    <t>PPA Optimization of a Fixed-Point Polar Processing Element</t>
  </si>
  <si>
    <t>B3 + A4.</t>
  </si>
  <si>
    <t>B3-T01, A4-P01</t>
  </si>
  <si>
    <t>Connect numerical precision to physical cost.</t>
  </si>
  <si>
    <t>Bit-width/pipeline configurations; BLER or numerical impact; ASIC PPA; Pareto analysis.</t>
  </si>
  <si>
    <t>Tối thiểu 2 cấu hình bit-width/pipeline của PE qua ASIC flow, kèm bảng PPA và phân tích tác động số học.</t>
  </si>
  <si>
    <t>Automated DSE.</t>
  </si>
  <si>
    <t>AB-R01</t>
  </si>
  <si>
    <t>Hardware-aware design-space exploration cho Polar Decoder</t>
  </si>
  <si>
    <t>Hardware-Aware Design-Space Exploration for Polar Decoding</t>
  </si>
  <si>
    <t>Strong B + A4/A5; research ownership.</t>
  </si>
  <si>
    <t>AB-T*</t>
  </si>
  <si>
    <t>Optimize across algorithmic and hardware parameters.</t>
  </si>
  <si>
    <t>Reproducible multi-objective experiments; BLER-area-latency-throughput-energy analysis; research manuscript assets.</t>
  </si>
  <si>
    <t>Neural-assisted branch if evidence justifies it.</t>
  </si>
  <si>
    <t>AB-T05</t>
  </si>
  <si>
    <t>Tăng tốc phần cứng cho suy luận AI biên trên SoC FPGA</t>
  </si>
  <si>
    <t>Hardware Acceleration of an Edge-AI Workload on a SoC FPGA</t>
  </si>
  <si>
    <t>A6-T02 hoặc (A3-T* + A7-P03).</t>
  </si>
  <si>
    <t>A6-P03, A7-P03</t>
  </si>
  <si>
    <t>Co-design vi mạch × edge AI: cùng một mô hình, so phần mềm thuần với bản có accelerator trên cùng board.</t>
  </si>
  <si>
    <t>Baseline suy luận CPU-only trên SoC; accelerator cho lớp/khối nặng nhất; đo end-to-end: latency, năng lượng/suy luận, tài nguyên; khóa luận; repo.</t>
  </si>
  <si>
    <t>Baseline CPU-only có số liệu; accelerator RTL + testbench; tích hợp driver chạy đúng mô hình thật; bảng latency/năng lượng/tài nguyên so với baseline; phân tích điểm nghẽn; repository tái lập.</t>
  </si>
  <si>
    <t>Chỉ mở sau baseline: quét bit width của accelerator và vẽ đường accuracy/PPA.</t>
  </si>
  <si>
    <t>Zynq/PYNQ; Verilog/HLS được duyệt; TFLite; profiler; thiết bị đo dòng; Git.</t>
  </si>
  <si>
    <t>Edge-AI hardware engineer; đúng mạch nghiên cứu accelerator hiện nay.</t>
  </si>
  <si>
    <t>AB-T06</t>
  </si>
  <si>
    <t>Bộ giải mã SC Polar tiết kiệm năng lượng cho liên kết IoT</t>
  </si>
  <si>
    <t>Energy-Efficient SC Polar Decoder for an IoT Link</t>
  </si>
  <si>
    <t>B1-T02 hoặc B2-T01 hoặc B3-T01; hiểu ngân sách năng lượng thiết bị biên.</t>
  </si>
  <si>
    <t>B1-T*, B3-P01</t>
  </si>
  <si>
    <t>Co-design Polar × IoT: câu hỏi không phải 'decoder chạy chưa' mà 'tốn bao nhiêu năng lượng cho một bit tin cậy'.</t>
  </si>
  <si>
    <t>SC decoder fixed-point đặt trong ngữ cảnh IoT (block length/ném SNR do mentor chốt); đánh giá BLER kèm năng lượng/bit và độ trễ trên FPGA; so &gt;=2 cấu hình; khóa luận; repo.</t>
  </si>
  <si>
    <t>Golden model đối chiếu; decoder fixed-point trên FPGA khớp golden; đường BLER; bảng năng lượng/bit + độ trễ cho &gt;=2 cấu hình; phân tích trade-off; repository tái lập.</t>
  </si>
  <si>
    <t>Chỉ mở sau baseline: adaptive scheme (nối B5) hoặc ước lượng ASIC (nối AB-T01).</t>
  </si>
  <si>
    <t>Python/MATLAB golden model; Verilog; FPGA; thiết bị đo/ước lượng năng lượng; Git.</t>
  </si>
  <si>
    <t>Baseband/hardware engineer cho truyền thông IoT; trực tiếp phục vụ hướng luận án.</t>
  </si>
  <si>
    <t>AB-R02</t>
  </si>
  <si>
    <t>Co-design thuật toán – phần cứng cho truyền thông tin cậy ở thiết bị biên</t>
  </si>
  <si>
    <t>Algorithm-Hardware Co-Design for Reliable Communication at the Edge</t>
  </si>
  <si>
    <t>AB-T06 hoặc B5-T* hoặc tương đương; nền tảng thí nghiệm vững.</t>
  </si>
  <si>
    <t>Đúng lõi định hướng luận án: quyết định thuật toán (khi nào giải mạnh) và quyết định phần cứng (đầu tư diện tích vào đâu) được tối ưu cùng nhau, không tách rời.</t>
  </si>
  <si>
    <t>Research question về điểm gặp giữa adaptive Polar decoding và ngân sách năng lượng biên; framework thí nghiệm; &gt;=2 chiến lược so trên cùng ràng buộc; phân tích BLER-năng lượng-độ trễ; báo cáo nghiên cứu.</t>
  </si>
  <si>
    <t>Ánh xạ một chiến lược xuống RTL và kiểm chứng chi phí thật.</t>
  </si>
  <si>
    <t>Python/MATLAB; Verilog; FPGA; mô hình năng lượng; Git.</t>
  </si>
  <si>
    <t>Hạt nhân bài báo hội nghị/tạp chí; hướng luận án của mentor.</t>
  </si>
  <si>
    <t>AB-R03</t>
  </si>
  <si>
    <t>Nền tảng biên tích hợp: truyền thông và suy luận chia sẻ tài nguyên phần cứng</t>
  </si>
  <si>
    <t>Integrated Edge Platform: Communication and Inference Sharing Hardware Resources</t>
  </si>
  <si>
    <t>AB-T05 hoặc AB-T06 + nền nghiên cứu (một đề tài R hoặc extension đã sign-off).</t>
  </si>
  <si>
    <t>Câu hỏi mở nhiều học kỳ: thiết bị biên tương lai vừa truyền tin cậy vừa suy luận tại chỗ — kiến trúc chung tối ưu trông như thế nào?</t>
  </si>
  <si>
    <t>Feasibility study có số liệu: decoder Polar + suy luận edge AI trên cùng SoC/FPGA — chia sẻ tài nguyên, lập lịch, ngân sách năng lượng chung; phân tích kiến trúc; báo cáo nghiên cứu định hướng dài hạn.</t>
  </si>
  <si>
    <t>Prototype một cấu hình chia sẻ và đo xung đột tài nguyên thật.</t>
  </si>
  <si>
    <t>Zynq/SoC FPGA; Verilog; TFLite; golden model Polar; Python phân tích.</t>
  </si>
  <si>
    <t>Chương trình nghiên cứu dài hạn của lab; đề tài cấp luận án.</t>
  </si>
  <si>
    <t>Student ID</t>
  </si>
  <si>
    <t>Full name</t>
  </si>
  <si>
    <t>Class</t>
  </si>
  <si>
    <t>Email</t>
  </si>
  <si>
    <t>Career goal</t>
  </si>
  <si>
    <t>Track Type</t>
  </si>
  <si>
    <t>Top 1</t>
  </si>
  <si>
    <t>Top 2</t>
  </si>
  <si>
    <t>Top 3</t>
  </si>
  <si>
    <t>Risk</t>
  </si>
  <si>
    <t>Assigned Topic</t>
  </si>
  <si>
    <t>Last Evidence</t>
  </si>
  <si>
    <t>Next Deliverable</t>
  </si>
  <si>
    <t>Next Deadline</t>
  </si>
  <si>
    <t>Notes</t>
  </si>
  <si>
    <t>Electronics</t>
  </si>
  <si>
    <t>Digital Logic</t>
  </si>
  <si>
    <t>Verilog/SV</t>
  </si>
  <si>
    <t>Simulation/Debug</t>
  </si>
  <si>
    <t>FPGA</t>
  </si>
  <si>
    <t>Python</t>
  </si>
  <si>
    <t>MATLAB</t>
  </si>
  <si>
    <t>Linux/WSL</t>
  </si>
  <si>
    <t>Git/GitHub</t>
  </si>
  <si>
    <t>DSP</t>
  </si>
  <si>
    <t>Digital Comm</t>
  </si>
  <si>
    <t>Probability</t>
  </si>
  <si>
    <t>Coding Theory</t>
  </si>
  <si>
    <t>Polar Codes</t>
  </si>
  <si>
    <t>English Reading</t>
  </si>
  <si>
    <t>Technical Writing</t>
  </si>
  <si>
    <t>TR Avg</t>
  </si>
  <si>
    <t>WR Commitment</t>
  </si>
  <si>
    <t>WR Persistence</t>
  </si>
  <si>
    <t>WR Integrity</t>
  </si>
  <si>
    <t>WR Initiative</t>
  </si>
  <si>
    <t>WR Critical Thinking</t>
  </si>
  <si>
    <t>WR Total</t>
  </si>
  <si>
    <t>RR Literature</t>
  </si>
  <si>
    <t>RR Baseline</t>
  </si>
  <si>
    <t>RR Experiment</t>
  </si>
  <si>
    <t>RR Interpretation</t>
  </si>
  <si>
    <t>RR Ownership</t>
  </si>
  <si>
    <t>RR Avg</t>
  </si>
  <si>
    <t>Mentor Decision</t>
  </si>
  <si>
    <t>Conditions/Notes</t>
  </si>
  <si>
    <t>Week</t>
  </si>
  <si>
    <t>Date</t>
  </si>
  <si>
    <t>Goal</t>
  </si>
  <si>
    <t>Completed</t>
  </si>
  <si>
    <t>Evidence Link</t>
  </si>
  <si>
    <t>Failure/Blocker</t>
  </si>
  <si>
    <t>Diagnosis</t>
  </si>
  <si>
    <t>What Tried</t>
  </si>
  <si>
    <t>Proposed Next Step</t>
  </si>
  <si>
    <t>Question for Mentor</t>
  </si>
  <si>
    <t>AI Use Summary</t>
  </si>
  <si>
    <t>Deadline</t>
  </si>
  <si>
    <t>Gate</t>
  </si>
  <si>
    <t>Week Window</t>
  </si>
  <si>
    <t>Requirement</t>
  </si>
  <si>
    <t>Evidence</t>
  </si>
  <si>
    <t>Decision/Action</t>
  </si>
  <si>
    <t>Reviewed Date</t>
  </si>
  <si>
    <t>Gate 1 - Problem &amp; Foundation</t>
  </si>
  <si>
    <t>Tuần 1-2</t>
  </si>
  <si>
    <t>Hiểu problem, input/output, baseline, metric, prerequisite gaps.</t>
  </si>
  <si>
    <t>Not Started</t>
  </si>
  <si>
    <t>Gate 2 - Baseline</t>
  </si>
  <si>
    <t>Tuần 3-5</t>
  </si>
  <si>
    <t>Baseline/chức năng cơ sở phải chạy và có evidence tái lập.</t>
  </si>
  <si>
    <t>Gate 3 - Core Implementation</t>
  </si>
  <si>
    <t>Tuần 6-8</t>
  </si>
  <si>
    <t>Có core implementation và kết quả định lượng trung gian.</t>
  </si>
  <si>
    <t>Gate 4 - Experiments</t>
  </si>
  <si>
    <t>Tuần 9-11</t>
  </si>
  <si>
    <t>Thực nghiệm chính hoàn tất; table/figure chính hình thành.</t>
  </si>
  <si>
    <t>Gate 5 - Analysis &amp; Draft</t>
  </si>
  <si>
    <t>Tuần 12-13</t>
  </si>
  <si>
    <t>Phân tích kết quả và bản thảo báo cáo/khóa luận đầy đủ.</t>
  </si>
  <si>
    <t>Gate 6 - Reproducibility &amp; Defense</t>
  </si>
  <si>
    <t>Tuần 14-15</t>
  </si>
  <si>
    <t>Người khác có thể chạy lại; slides/demo; legacy package; defense readiness.</t>
  </si>
  <si>
    <t>WORKING READINESS (0-4 each)</t>
  </si>
  <si>
    <t>SUGGESTED THRESHOLDS</t>
  </si>
  <si>
    <t>Criterion</t>
  </si>
  <si>
    <t>Score</t>
  </si>
  <si>
    <t>Activity</t>
  </si>
  <si>
    <t>TR</t>
  </si>
  <si>
    <t>WR</t>
  </si>
  <si>
    <t>RR</t>
  </si>
  <si>
    <t>Interpretation</t>
  </si>
  <si>
    <t>Cam kết &amp; kỷ luật</t>
  </si>
  <si>
    <t>Đúng deadline; tham gia/đổi lịch đúng quy ước; cập nhật đều; không để task “vâng dạ rồi để đó”.</t>
  </si>
  <si>
    <t>0-4</t>
  </si>
  <si>
    <t>Course Project</t>
  </si>
  <si>
    <t>Low-Medium</t>
  </si>
  <si>
    <t>&gt;=10/20</t>
  </si>
  <si>
    <t>Not required</t>
  </si>
  <si>
    <t>Skill acquisition</t>
  </si>
  <si>
    <t>Kiên trì</t>
  </si>
  <si>
    <t>Khi gặp lỗi có evidence về các thử nghiệm chẩn đoán, không bỏ cuộc ngay.</t>
  </si>
  <si>
    <t>Internship</t>
  </si>
  <si>
    <t>Medium</t>
  </si>
  <si>
    <t>&gt;=12/20</t>
  </si>
  <si>
    <t>Engineering workflow</t>
  </si>
  <si>
    <t>Trung thực</t>
  </si>
  <si>
    <t>Phân biệt rõ tự làm, tham khảo, AI hỗ trợ, chưa hiểu, kết quả âm/không như kỳ vọng.</t>
  </si>
  <si>
    <t>DATN Engineering</t>
  </si>
  <si>
    <t>&gt;=14/20</t>
  </si>
  <si>
    <t>Basic</t>
  </si>
  <si>
    <t>Complete engineering project</t>
  </si>
  <si>
    <t>Chủ động</t>
  </si>
  <si>
    <t>Tự tìm từ khóa/tài liệu; đề xuất next step trước khi hỏi mentor “em làm gì tiếp?”.</t>
  </si>
  <si>
    <t>DATN Research-oriented</t>
  </si>
  <si>
    <t>Good</t>
  </si>
  <si>
    <t>&gt;=15/20</t>
  </si>
  <si>
    <t>Experiment/research orientation</t>
  </si>
  <si>
    <t>Tư duy phản biện</t>
  </si>
  <si>
    <t>Hỏi tại sao; so sánh alternatives; chấp nhận/sửa quan điểm theo evidence.</t>
  </si>
  <si>
    <t>Research</t>
  </si>
  <si>
    <t>Good+</t>
  </si>
  <si>
    <t>&gt;=16/20</t>
  </si>
  <si>
    <t>Required</t>
  </si>
  <si>
    <t>Research question ownership</t>
  </si>
  <si>
    <t>Advanced B6/AB-R</t>
  </si>
  <si>
    <t>High</t>
  </si>
  <si>
    <t>&gt;=17/20</t>
  </si>
  <si>
    <t>Very good</t>
  </si>
  <si>
    <t>Advanced co-design/research</t>
  </si>
  <si>
    <t>RESEARCH READINESS (0-4 each)</t>
  </si>
  <si>
    <t>Literature comprehension</t>
  </si>
  <si>
    <t>Đọc được paper/tài liệu và tách problem, assumptions, method, metrics, limitations.</t>
  </si>
  <si>
    <t>Baseline discipline</t>
  </si>
  <si>
    <t>Ưu tiên baseline đúng, tái lập trước novelty.</t>
  </si>
  <si>
    <t>Experimental design</t>
  </si>
  <si>
    <t>Biết control variables, seed/config, metric và so sánh công bằng.</t>
  </si>
  <si>
    <t>Giải thích kết quả, không chỉ báo số/figure.</t>
  </si>
  <si>
    <t>Research ownership</t>
  </si>
  <si>
    <t>Tự hình thành câu hỏi/giả thuyết nhỏ và biết giới hạn claim.</t>
  </si>
  <si>
    <t>NGUỒN CHUẨN: 06_Data/readiness_rubrics.json (phiên bản hiện hành — xem meta.version) — WR 0-4 (/20) với ngưỡng; RR 0-4; TR 0-5 với 16 năng lực. Sheet này là view.</t>
  </si>
  <si>
    <t>MENTORING PROGRAM DASHBOARD - TEMPLATE</t>
  </si>
  <si>
    <t>KPI</t>
  </si>
  <si>
    <t>Value</t>
  </si>
  <si>
    <t>Program rule</t>
  </si>
  <si>
    <t>Total students</t>
  </si>
  <si>
    <t>Single source of truth</t>
  </si>
  <si>
    <t>06_Data/</t>
  </si>
  <si>
    <t>Active</t>
  </si>
  <si>
    <t>Baseline before novelty</t>
  </si>
  <si>
    <t>Yellow risk</t>
  </si>
  <si>
    <t>Gate 3 miss</t>
  </si>
  <si>
    <t>Reduce scope</t>
  </si>
  <si>
    <t>Red risk</t>
  </si>
  <si>
    <t>AI rule</t>
  </si>
  <si>
    <t>Cannot explain = Not completed</t>
  </si>
  <si>
    <t>Research track</t>
  </si>
  <si>
    <t>Legacy package</t>
  </si>
  <si>
    <t>How to use</t>
  </si>
  <si>
    <t>1) Add students. 2) Score readiness. 3) Track weekly evidence. 4) Review Gate 1-6. 5) Keep this workbook private when it contains real student data.</t>
  </si>
  <si>
    <t>MENTORING MANAGEMENT WORKBOOK - INSTRUCTIONS</t>
  </si>
  <si>
    <t>Sheet</t>
  </si>
  <si>
    <t>Use</t>
  </si>
  <si>
    <t>Dashboard</t>
  </si>
  <si>
    <t>Quick program status.</t>
  </si>
  <si>
    <t>Portfolio</t>
  </si>
  <si>
    <t>Read-only master topic view from canonical project data.</t>
  </si>
  <si>
    <t>Students</t>
  </si>
  <si>
    <t>Private cohort roster, assignment, risk, next action.</t>
  </si>
  <si>
    <t>Readiness</t>
  </si>
  <si>
    <t>TR/WR/RR scoring and mentor decision.</t>
  </si>
  <si>
    <t>Weekly_Status</t>
  </si>
  <si>
    <t>One row per student-week with evidence and next step.</t>
  </si>
  <si>
    <t>Milestones</t>
  </si>
  <si>
    <t>Gate 1-6 records.</t>
  </si>
  <si>
    <t>Rubrics</t>
  </si>
  <si>
    <t>Scoring anchors and thresholds.</t>
  </si>
  <si>
    <t>PRIVACY: Do not publish this workbook when it contains real names, emails, readiness scores, warnings or mentor notes. Public catalogs and private operational records must remain separate.</t>
  </si>
  <si>
    <t>v1.5.1 (23/08/2026): Portfolio = view sinh từ 06_Data (105 đề tài, có MVT/Status/Alias). Khi có dữ liệu SV thật, lưu bản sao vào 07_Private/ và không chia sẻ file này.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</si>
</sst>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6D"/>
      </patternFill>
    </fill>
    <fill>
      <patternFill patternType="solid">
        <fgColor rgb="FFE8F3F3"/>
      </patternFill>
    </fill>
    <fill>
      <patternFill patternType="solid">
        <fgColor rgb="FFFFF4E5"/>
      </patternFill>
    </fill>
    <fill>
      <patternFill patternType="solid">
        <fgColor rgb="FFDCE6E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5">
    <xf numFmtId="0" fontId="0" fillId="0" borderId="0" xfId="0" applyBorder="1"/>
    <xf numFmtId="0" fontId="0" fillId="0" borderId="1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" xfId="0" applyAlignment="1">
      <alignment wrapText="1"/>
    </xf>
    <xf numFmtId="164" fontId="0" fillId="0" borderId="0" xfId="0" applyNumberFormat="1" applyBorder="1" applyAlignment="1">
      <alignment wrapText="1"/>
    </xf>
    <xf numFmtId="0" fontId="4" fillId="6" borderId="0" xfId="0" applyFont="1" applyFill="1" applyBorder="1"/>
    <xf numFmtId="0" fontId="2" fillId="3" borderId="1" xfId="0" applyFont="1" applyFill="1" applyAlignment="1">
      <alignment vertical="center" wrapText="1"/>
    </xf>
    <xf numFmtId="0" fontId="0" fillId="0" borderId="1" xfId="0"/>
    <xf numFmtId="0" fontId="2" fillId="3" borderId="1" xfId="0" applyFont="1" applyFill="1" applyAlignment="1">
      <alignment vertical="center"/>
    </xf>
    <xf numFmtId="0" fontId="0" fillId="0" borderId="1" xfId="0" applyAlignment="1">
      <alignment wrapText="1"/>
    </xf>
    <xf numFmtId="0" fontId="0" fillId="0" borderId="0" xfId="0" applyBorder="1"/>
    <xf numFmtId="0" fontId="3" fillId="4" borderId="1" xfId="0" applyFont="1" applyFill="1" applyAlignment="1">
      <alignment vertical="center"/>
    </xf>
    <xf numFmtId="0" fontId="0" fillId="5" borderId="1" xfId="0" applyFill="1" applyAlignment="1">
      <alignment wrapText="1"/>
    </xf>
  </cellXfs>
  <cellStyles count="1">
    <cellStyle name="Normal" xfId="0" builtinId="0"/>
  </cellStyles>
  <dxfs count="6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tfolioTable" displayName="PortfolioTable" ref="A1:K83" totalsRowShown="0">
  <tableColumns count="11">
    <tableColumn id="1" xr3:uid="{00000000-0010-0000-0000-000001000000}" name="Code"/>
    <tableColumn id="2" xr3:uid="{00000000-0010-0000-0000-000002000000}" name="Family"/>
    <tableColumn id="3" xr3:uid="{00000000-0010-0000-0000-000003000000}" name="Type"/>
    <tableColumn id="4" xr3:uid="{00000000-0010-0000-0000-000004000000}" name="Title VI"/>
    <tableColumn id="5" xr3:uid="{00000000-0010-0000-0000-000005000000}" name="Title EN"/>
    <tableColumn id="6" xr3:uid="{00000000-0010-0000-0000-000006000000}" name="Min Level"/>
    <tableColumn id="7" xr3:uid="{00000000-0010-0000-0000-000007000000}" name="Level Name"/>
    <tableColumn id="8" xr3:uid="{00000000-0010-0000-0000-000008000000}" name="Prerequisites"/>
    <tableColumn id="9" xr3:uid="{00000000-0010-0000-0000-000009000000}" name="Scope"/>
    <tableColumn id="10" xr3:uid="{00000000-0010-0000-0000-00000A000000}" name="Deliverables"/>
    <tableColumn id="11" xr3:uid="{00000000-0010-0000-0000-00000B000000}" name="Exten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udentsTable" displayName="StudentsTable" ref="A1:R101" totalsRowShown="0">
  <tableColumns count="18">
    <tableColumn id="1" xr3:uid="{00000000-0010-0000-0100-000001000000}" name="Student ID"/>
    <tableColumn id="2" xr3:uid="{00000000-0010-0000-0100-000002000000}" name="Full name"/>
    <tableColumn id="3" xr3:uid="{00000000-0010-0000-0100-000003000000}" name="Class"/>
    <tableColumn id="4" xr3:uid="{00000000-0010-0000-0100-000004000000}" name="Email"/>
    <tableColumn id="5" xr3:uid="{00000000-0010-0000-0100-000005000000}" name="Career goal"/>
    <tableColumn id="6" xr3:uid="{00000000-0010-0000-0100-000006000000}" name="Track Type"/>
    <tableColumn id="7" xr3:uid="{00000000-0010-0000-0100-000007000000}" name="Top 1"/>
    <tableColumn id="8" xr3:uid="{00000000-0010-0000-0100-000008000000}" name="Top 2"/>
    <tableColumn id="9" xr3:uid="{00000000-0010-0000-0100-000009000000}" name="Top 3"/>
    <tableColumn id="10" xr3:uid="{00000000-0010-0000-0100-00000A000000}" name="Status"/>
    <tableColumn id="11" xr3:uid="{00000000-0010-0000-0100-00000B000000}" name="Risk"/>
    <tableColumn id="12" xr3:uid="{00000000-0010-0000-0100-00000C000000}" name="Assigned Topic"/>
    <tableColumn id="13" xr3:uid="{00000000-0010-0000-0100-00000D000000}" name="MVT"/>
    <tableColumn id="14" xr3:uid="{00000000-0010-0000-0100-00000E000000}" name="Extension"/>
    <tableColumn id="15" xr3:uid="{00000000-0010-0000-0100-00000F000000}" name="Last Evidence"/>
    <tableColumn id="16" xr3:uid="{00000000-0010-0000-0100-000010000000}" name="Next Deliverable"/>
    <tableColumn id="17" xr3:uid="{00000000-0010-0000-0100-000011000000}" name="Next Deadline"/>
    <tableColumn id="18" xr3:uid="{00000000-0010-0000-0100-000012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adinessTable" displayName="ReadinessTable" ref="A1:AG101" totalsRowShown="0">
  <tableColumns count="33">
    <tableColumn id="1" xr3:uid="{00000000-0010-0000-0200-000001000000}" name="Student ID"/>
    <tableColumn id="2" xr3:uid="{00000000-0010-0000-0200-000002000000}" name="Full name"/>
    <tableColumn id="3" xr3:uid="{00000000-0010-0000-0200-000003000000}" name="Electronics"/>
    <tableColumn id="4" xr3:uid="{00000000-0010-0000-0200-000004000000}" name="Digital Logic"/>
    <tableColumn id="5" xr3:uid="{00000000-0010-0000-0200-000005000000}" name="Verilog/SV"/>
    <tableColumn id="6" xr3:uid="{00000000-0010-0000-0200-000006000000}" name="Simulation/Debug"/>
    <tableColumn id="7" xr3:uid="{00000000-0010-0000-0200-000007000000}" name="FPGA"/>
    <tableColumn id="8" xr3:uid="{00000000-0010-0000-0200-000008000000}" name="Python"/>
    <tableColumn id="9" xr3:uid="{00000000-0010-0000-0200-000009000000}" name="MATLAB"/>
    <tableColumn id="10" xr3:uid="{00000000-0010-0000-0200-00000A000000}" name="Linux/WSL"/>
    <tableColumn id="11" xr3:uid="{00000000-0010-0000-0200-00000B000000}" name="Git/GitHub"/>
    <tableColumn id="12" xr3:uid="{00000000-0010-0000-0200-00000C000000}" name="DSP"/>
    <tableColumn id="13" xr3:uid="{00000000-0010-0000-0200-00000D000000}" name="Digital Comm"/>
    <tableColumn id="14" xr3:uid="{00000000-0010-0000-0200-00000E000000}" name="Probability"/>
    <tableColumn id="15" xr3:uid="{00000000-0010-0000-0200-00000F000000}" name="Coding Theory"/>
    <tableColumn id="16" xr3:uid="{00000000-0010-0000-0200-000010000000}" name="Polar Codes"/>
    <tableColumn id="17" xr3:uid="{00000000-0010-0000-0200-000011000000}" name="English Reading"/>
    <tableColumn id="18" xr3:uid="{00000000-0010-0000-0200-000012000000}" name="Technical Writing"/>
    <tableColumn id="19" xr3:uid="{00000000-0010-0000-0200-000013000000}" name="TR Avg"/>
    <tableColumn id="20" xr3:uid="{00000000-0010-0000-0200-000014000000}" name="WR Commitment"/>
    <tableColumn id="21" xr3:uid="{00000000-0010-0000-0200-000015000000}" name="WR Persistence"/>
    <tableColumn id="22" xr3:uid="{00000000-0010-0000-0200-000016000000}" name="WR Integrity"/>
    <tableColumn id="23" xr3:uid="{00000000-0010-0000-0200-000017000000}" name="WR Initiative"/>
    <tableColumn id="24" xr3:uid="{00000000-0010-0000-0200-000018000000}" name="WR Critical Thinking"/>
    <tableColumn id="25" xr3:uid="{00000000-0010-0000-0200-000019000000}" name="WR Total"/>
    <tableColumn id="26" xr3:uid="{00000000-0010-0000-0200-00001A000000}" name="RR Literature"/>
    <tableColumn id="27" xr3:uid="{00000000-0010-0000-0200-00001B000000}" name="RR Baseline"/>
    <tableColumn id="28" xr3:uid="{00000000-0010-0000-0200-00001C000000}" name="RR Experiment"/>
    <tableColumn id="29" xr3:uid="{00000000-0010-0000-0200-00001D000000}" name="RR Interpretation"/>
    <tableColumn id="30" xr3:uid="{00000000-0010-0000-0200-00001E000000}" name="RR Ownership"/>
    <tableColumn id="31" xr3:uid="{00000000-0010-0000-0200-00001F000000}" name="RR Avg"/>
    <tableColumn id="32" xr3:uid="{00000000-0010-0000-0200-000020000000}" name="Mentor Decision"/>
    <tableColumn id="33" xr3:uid="{00000000-0010-0000-0200-000021000000}" name="Conditions/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eeklyStatusTable" displayName="WeeklyStatusTable" ref="A1:Q301" totalsRowShown="0">
  <tableColumns count="17">
    <tableColumn id="1" xr3:uid="{00000000-0010-0000-0300-000001000000}" name="Student ID"/>
    <tableColumn id="2" xr3:uid="{00000000-0010-0000-0300-000002000000}" name="Full name"/>
    <tableColumn id="3" xr3:uid="{00000000-0010-0000-0300-000003000000}" name="Week"/>
    <tableColumn id="4" xr3:uid="{00000000-0010-0000-0300-000004000000}" name="Date"/>
    <tableColumn id="5" xr3:uid="{00000000-0010-0000-0300-000005000000}" name="Goal"/>
    <tableColumn id="6" xr3:uid="{00000000-0010-0000-0300-000006000000}" name="Completed"/>
    <tableColumn id="7" xr3:uid="{00000000-0010-0000-0300-000007000000}" name="Evidence Link"/>
    <tableColumn id="8" xr3:uid="{00000000-0010-0000-0300-000008000000}" name="Failure/Blocker"/>
    <tableColumn id="9" xr3:uid="{00000000-0010-0000-0300-000009000000}" name="Diagnosis"/>
    <tableColumn id="10" xr3:uid="{00000000-0010-0000-0300-00000A000000}" name="What Tried"/>
    <tableColumn id="11" xr3:uid="{00000000-0010-0000-0300-00000B000000}" name="Proposed Next Step"/>
    <tableColumn id="12" xr3:uid="{00000000-0010-0000-0300-00000C000000}" name="Question for Mentor"/>
    <tableColumn id="13" xr3:uid="{00000000-0010-0000-0300-00000D000000}" name="AI Use Summary"/>
    <tableColumn id="14" xr3:uid="{00000000-0010-0000-0300-00000E000000}" name="Risk"/>
    <tableColumn id="15" xr3:uid="{00000000-0010-0000-0300-00000F000000}" name="Mentor Decision"/>
    <tableColumn id="16" xr3:uid="{00000000-0010-0000-0300-000010000000}" name="Next Deliverable"/>
    <tableColumn id="17" xr3:uid="{00000000-0010-0000-0300-000011000000}" name="Deadli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ilestonesTable" displayName="MilestonesTable" ref="A1:J361" totalsRowShown="0">
  <tableColumns count="10">
    <tableColumn id="1" xr3:uid="{00000000-0010-0000-0400-000001000000}" name="Student ID"/>
    <tableColumn id="2" xr3:uid="{00000000-0010-0000-0400-000002000000}" name="Full name"/>
    <tableColumn id="3" xr3:uid="{00000000-0010-0000-0400-000003000000}" name="Assigned Topic"/>
    <tableColumn id="4" xr3:uid="{00000000-0010-0000-0400-000004000000}" name="Gate"/>
    <tableColumn id="5" xr3:uid="{00000000-0010-0000-0400-000005000000}" name="Week Window"/>
    <tableColumn id="6" xr3:uid="{00000000-0010-0000-0400-000006000000}" name="Requirement"/>
    <tableColumn id="7" xr3:uid="{00000000-0010-0000-0400-000007000000}" name="Status"/>
    <tableColumn id="8" xr3:uid="{00000000-0010-0000-0400-000008000000}" name="Evidence"/>
    <tableColumn id="9" xr3:uid="{00000000-0010-0000-0400-000009000000}" name="Decision/Action"/>
    <tableColumn id="10" xr3:uid="{00000000-0010-0000-0400-00000A000000}" name="Reviewed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2" customWidth="1"/>
    <col min="2" max="2" width="8" customWidth="1"/>
    <col min="3" max="3" width="7" customWidth="1"/>
    <col min="4" max="5" width="34" customWidth="1"/>
    <col min="6" max="6" width="10" customWidth="1"/>
    <col min="7" max="7" width="22" customWidth="1"/>
    <col min="8" max="8" width="36" customWidth="1"/>
    <col min="9" max="10" width="42" customWidth="1"/>
    <col min="11" max="11" width="36" customWidth="1"/>
  </cols>
  <sheetData>
    <row r="1" spans="1:17" ht="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ht="42.7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0</v>
      </c>
      <c r="G2" s="5" t="s">
        <v>22</v>
      </c>
      <c r="H2" s="5" t="s">
        <v>23</v>
      </c>
      <c r="I2" s="5"/>
      <c r="J2" s="5" t="s">
        <v>24</v>
      </c>
      <c r="K2" s="5" t="s">
        <v>25</v>
      </c>
      <c r="L2" s="1"/>
      <c r="M2" s="1" t="s">
        <v>26</v>
      </c>
      <c r="N2" s="1" t="s">
        <v>27</v>
      </c>
      <c r="O2" s="1" t="s">
        <v>28</v>
      </c>
      <c r="P2" s="1"/>
      <c r="Q2" s="1" t="s">
        <v>29</v>
      </c>
    </row>
    <row r="3" spans="1:17" ht="42.75">
      <c r="A3" s="5" t="s">
        <v>30</v>
      </c>
      <c r="B3" s="5" t="s">
        <v>18</v>
      </c>
      <c r="C3" s="5" t="s">
        <v>19</v>
      </c>
      <c r="D3" s="5" t="s">
        <v>31</v>
      </c>
      <c r="E3" s="5" t="s">
        <v>32</v>
      </c>
      <c r="F3" s="5">
        <v>0</v>
      </c>
      <c r="G3" s="5" t="s">
        <v>22</v>
      </c>
      <c r="H3" s="5" t="s">
        <v>33</v>
      </c>
      <c r="I3" s="1"/>
      <c r="J3" s="5" t="s">
        <v>34</v>
      </c>
      <c r="K3" s="5" t="s">
        <v>35</v>
      </c>
      <c r="L3" s="1"/>
      <c r="M3" s="1" t="s">
        <v>36</v>
      </c>
      <c r="N3" s="1" t="s">
        <v>27</v>
      </c>
      <c r="O3" s="1" t="s">
        <v>28</v>
      </c>
      <c r="P3" s="1"/>
      <c r="Q3" s="1" t="s">
        <v>29</v>
      </c>
    </row>
    <row r="4" spans="1:17" ht="28.5">
      <c r="A4" s="5" t="s">
        <v>37</v>
      </c>
      <c r="B4" s="5" t="s">
        <v>18</v>
      </c>
      <c r="C4" s="5" t="s">
        <v>19</v>
      </c>
      <c r="D4" s="5" t="s">
        <v>38</v>
      </c>
      <c r="E4" s="5" t="s">
        <v>39</v>
      </c>
      <c r="F4" s="5">
        <v>0</v>
      </c>
      <c r="G4" s="5" t="s">
        <v>22</v>
      </c>
      <c r="H4" s="5" t="s">
        <v>40</v>
      </c>
      <c r="I4" s="5"/>
      <c r="J4" s="5" t="s">
        <v>41</v>
      </c>
      <c r="K4" s="5" t="s">
        <v>42</v>
      </c>
      <c r="L4" s="1"/>
      <c r="M4" s="1" t="s">
        <v>43</v>
      </c>
      <c r="N4" s="1" t="s">
        <v>27</v>
      </c>
      <c r="O4" s="1" t="s">
        <v>28</v>
      </c>
      <c r="P4" s="1"/>
      <c r="Q4" s="1" t="s">
        <v>29</v>
      </c>
    </row>
    <row r="5" spans="1:17" ht="28.5">
      <c r="A5" s="5" t="s">
        <v>44</v>
      </c>
      <c r="B5" s="5" t="s">
        <v>18</v>
      </c>
      <c r="C5" s="5" t="s">
        <v>19</v>
      </c>
      <c r="D5" s="5" t="s">
        <v>45</v>
      </c>
      <c r="E5" s="5" t="s">
        <v>46</v>
      </c>
      <c r="F5" s="5">
        <v>0</v>
      </c>
      <c r="G5" s="5" t="s">
        <v>22</v>
      </c>
      <c r="H5" s="5" t="s">
        <v>47</v>
      </c>
      <c r="I5" s="1"/>
      <c r="J5" s="5" t="s">
        <v>48</v>
      </c>
      <c r="K5" s="5" t="s">
        <v>49</v>
      </c>
      <c r="L5" s="1"/>
      <c r="M5" s="1" t="s">
        <v>50</v>
      </c>
      <c r="N5" s="1" t="s">
        <v>27</v>
      </c>
      <c r="O5" s="1" t="s">
        <v>28</v>
      </c>
      <c r="P5" s="1"/>
      <c r="Q5" s="1" t="s">
        <v>29</v>
      </c>
    </row>
    <row r="6" spans="1:17" ht="28.5">
      <c r="A6" s="5" t="s">
        <v>51</v>
      </c>
      <c r="B6" s="5" t="s">
        <v>18</v>
      </c>
      <c r="C6" s="5" t="s">
        <v>19</v>
      </c>
      <c r="D6" s="5" t="s">
        <v>52</v>
      </c>
      <c r="E6" s="5" t="s">
        <v>53</v>
      </c>
      <c r="F6" s="5">
        <v>1</v>
      </c>
      <c r="G6" s="5" t="s">
        <v>54</v>
      </c>
      <c r="H6" s="5" t="s">
        <v>55</v>
      </c>
      <c r="I6" s="5"/>
      <c r="J6" s="5" t="s">
        <v>56</v>
      </c>
      <c r="K6" s="5" t="s">
        <v>57</v>
      </c>
      <c r="L6" s="1"/>
      <c r="M6" s="1" t="s">
        <v>58</v>
      </c>
      <c r="N6" s="1" t="s">
        <v>27</v>
      </c>
      <c r="O6" s="1" t="s">
        <v>28</v>
      </c>
      <c r="P6" s="1"/>
      <c r="Q6" s="1" t="s">
        <v>29</v>
      </c>
    </row>
    <row r="7" spans="1:17" ht="28.5">
      <c r="A7" s="5" t="s">
        <v>59</v>
      </c>
      <c r="B7" s="5" t="s">
        <v>18</v>
      </c>
      <c r="C7" s="5" t="s">
        <v>19</v>
      </c>
      <c r="D7" s="5" t="s">
        <v>60</v>
      </c>
      <c r="E7" s="5" t="s">
        <v>61</v>
      </c>
      <c r="F7" s="5">
        <v>1</v>
      </c>
      <c r="G7" s="5" t="s">
        <v>54</v>
      </c>
      <c r="H7" s="5" t="s">
        <v>62</v>
      </c>
      <c r="I7" s="1"/>
      <c r="J7" s="5" t="s">
        <v>63</v>
      </c>
      <c r="K7" s="5" t="s">
        <v>64</v>
      </c>
      <c r="L7" s="1"/>
      <c r="M7" s="1" t="s">
        <v>65</v>
      </c>
      <c r="N7" s="1" t="s">
        <v>27</v>
      </c>
      <c r="O7" s="1" t="s">
        <v>28</v>
      </c>
      <c r="P7" s="1"/>
      <c r="Q7" s="1" t="s">
        <v>29</v>
      </c>
    </row>
    <row r="8" spans="1:17" ht="42.75">
      <c r="A8" s="5" t="s">
        <v>66</v>
      </c>
      <c r="B8" s="5" t="s">
        <v>18</v>
      </c>
      <c r="C8" s="5" t="s">
        <v>67</v>
      </c>
      <c r="D8" s="5" t="s">
        <v>68</v>
      </c>
      <c r="E8" s="5" t="s">
        <v>69</v>
      </c>
      <c r="F8" s="5">
        <v>1</v>
      </c>
      <c r="G8" s="5" t="s">
        <v>54</v>
      </c>
      <c r="H8" s="5" t="s">
        <v>70</v>
      </c>
      <c r="I8" s="5" t="s">
        <v>71</v>
      </c>
      <c r="J8" s="5" t="s">
        <v>72</v>
      </c>
      <c r="K8" s="5" t="s">
        <v>73</v>
      </c>
      <c r="L8" s="1"/>
      <c r="M8" s="1" t="s">
        <v>74</v>
      </c>
      <c r="N8" s="1" t="s">
        <v>27</v>
      </c>
      <c r="O8" s="1" t="s">
        <v>28</v>
      </c>
      <c r="P8" s="1"/>
      <c r="Q8" s="1" t="s">
        <v>29</v>
      </c>
    </row>
    <row r="9" spans="1:17" ht="28.5">
      <c r="A9" s="5" t="s">
        <v>75</v>
      </c>
      <c r="B9" s="5" t="s">
        <v>76</v>
      </c>
      <c r="C9" s="5" t="s">
        <v>19</v>
      </c>
      <c r="D9" s="5" t="s">
        <v>77</v>
      </c>
      <c r="E9" s="5" t="s">
        <v>78</v>
      </c>
      <c r="F9" s="5">
        <v>0</v>
      </c>
      <c r="G9" s="5" t="s">
        <v>22</v>
      </c>
      <c r="H9" s="5" t="s">
        <v>79</v>
      </c>
      <c r="I9" s="1"/>
      <c r="J9" s="5" t="s">
        <v>80</v>
      </c>
      <c r="K9" s="5" t="s">
        <v>81</v>
      </c>
      <c r="L9" s="1"/>
      <c r="M9" s="1" t="s">
        <v>82</v>
      </c>
      <c r="N9" s="1" t="s">
        <v>83</v>
      </c>
      <c r="O9" s="1" t="s">
        <v>28</v>
      </c>
      <c r="P9" s="1"/>
      <c r="Q9" s="1" t="s">
        <v>84</v>
      </c>
    </row>
    <row r="10" spans="1:17" ht="28.5">
      <c r="A10" s="5" t="s">
        <v>85</v>
      </c>
      <c r="B10" s="5" t="s">
        <v>76</v>
      </c>
      <c r="C10" s="5" t="s">
        <v>19</v>
      </c>
      <c r="D10" s="5" t="s">
        <v>86</v>
      </c>
      <c r="E10" s="5" t="s">
        <v>87</v>
      </c>
      <c r="F10" s="5">
        <v>0</v>
      </c>
      <c r="G10" s="5" t="s">
        <v>22</v>
      </c>
      <c r="H10" s="5" t="s">
        <v>88</v>
      </c>
      <c r="I10" s="5"/>
      <c r="J10" s="5" t="s">
        <v>89</v>
      </c>
      <c r="K10" s="5" t="s">
        <v>90</v>
      </c>
      <c r="L10" s="1"/>
      <c r="M10" s="1" t="s">
        <v>91</v>
      </c>
      <c r="N10" s="1" t="s">
        <v>83</v>
      </c>
      <c r="O10" s="1" t="s">
        <v>28</v>
      </c>
      <c r="P10" s="1"/>
      <c r="Q10" s="1" t="s">
        <v>84</v>
      </c>
    </row>
    <row r="11" spans="1:17" ht="28.5">
      <c r="A11" s="5" t="s">
        <v>92</v>
      </c>
      <c r="B11" s="5" t="s">
        <v>76</v>
      </c>
      <c r="C11" s="5" t="s">
        <v>19</v>
      </c>
      <c r="D11" s="5" t="s">
        <v>93</v>
      </c>
      <c r="E11" s="5" t="s">
        <v>94</v>
      </c>
      <c r="F11" s="5">
        <v>1</v>
      </c>
      <c r="G11" s="5" t="s">
        <v>54</v>
      </c>
      <c r="H11" s="5" t="s">
        <v>95</v>
      </c>
      <c r="I11" s="1"/>
      <c r="J11" s="5" t="s">
        <v>96</v>
      </c>
      <c r="K11" s="5" t="s">
        <v>97</v>
      </c>
      <c r="L11" s="1"/>
      <c r="M11" s="1" t="s">
        <v>98</v>
      </c>
      <c r="N11" s="1" t="s">
        <v>83</v>
      </c>
      <c r="O11" s="1" t="s">
        <v>28</v>
      </c>
      <c r="P11" s="1"/>
      <c r="Q11" s="1" t="s">
        <v>84</v>
      </c>
    </row>
    <row r="12" spans="1:17" ht="28.5">
      <c r="A12" s="5" t="s">
        <v>99</v>
      </c>
      <c r="B12" s="5" t="s">
        <v>76</v>
      </c>
      <c r="C12" s="5" t="s">
        <v>19</v>
      </c>
      <c r="D12" s="5" t="s">
        <v>100</v>
      </c>
      <c r="E12" s="5" t="s">
        <v>101</v>
      </c>
      <c r="F12" s="5">
        <v>1</v>
      </c>
      <c r="G12" s="5" t="s">
        <v>54</v>
      </c>
      <c r="H12" s="5" t="s">
        <v>102</v>
      </c>
      <c r="I12" s="5"/>
      <c r="J12" s="5" t="s">
        <v>103</v>
      </c>
      <c r="K12" s="5" t="s">
        <v>104</v>
      </c>
      <c r="L12" s="1"/>
      <c r="M12" s="1" t="s">
        <v>105</v>
      </c>
      <c r="N12" s="1" t="s">
        <v>83</v>
      </c>
      <c r="O12" s="1" t="s">
        <v>28</v>
      </c>
      <c r="P12" s="1"/>
      <c r="Q12" s="1" t="s">
        <v>84</v>
      </c>
    </row>
    <row r="13" spans="1:17" ht="28.5">
      <c r="A13" s="5" t="s">
        <v>106</v>
      </c>
      <c r="B13" s="5" t="s">
        <v>76</v>
      </c>
      <c r="C13" s="5" t="s">
        <v>19</v>
      </c>
      <c r="D13" s="5" t="s">
        <v>107</v>
      </c>
      <c r="E13" s="5" t="s">
        <v>108</v>
      </c>
      <c r="F13" s="5">
        <v>1</v>
      </c>
      <c r="G13" s="5" t="s">
        <v>54</v>
      </c>
      <c r="H13" s="5" t="s">
        <v>109</v>
      </c>
      <c r="I13" s="1"/>
      <c r="J13" s="5" t="s">
        <v>110</v>
      </c>
      <c r="K13" s="5" t="s">
        <v>111</v>
      </c>
      <c r="L13" s="1"/>
      <c r="M13" s="1" t="s">
        <v>112</v>
      </c>
      <c r="N13" s="1" t="s">
        <v>83</v>
      </c>
      <c r="O13" s="1" t="s">
        <v>28</v>
      </c>
      <c r="P13" s="1"/>
      <c r="Q13" s="1" t="s">
        <v>84</v>
      </c>
    </row>
    <row r="14" spans="1:17" ht="28.5">
      <c r="A14" s="5" t="s">
        <v>113</v>
      </c>
      <c r="B14" s="5" t="s">
        <v>76</v>
      </c>
      <c r="C14" s="5" t="s">
        <v>67</v>
      </c>
      <c r="D14" s="5" t="s">
        <v>114</v>
      </c>
      <c r="E14" s="5" t="s">
        <v>115</v>
      </c>
      <c r="F14" s="5">
        <v>1</v>
      </c>
      <c r="G14" s="5" t="s">
        <v>54</v>
      </c>
      <c r="H14" s="5" t="s">
        <v>116</v>
      </c>
      <c r="I14" s="5" t="s">
        <v>117</v>
      </c>
      <c r="J14" s="5" t="s">
        <v>118</v>
      </c>
      <c r="K14" s="5" t="s">
        <v>119</v>
      </c>
      <c r="L14" s="1"/>
      <c r="M14" s="1" t="s">
        <v>120</v>
      </c>
      <c r="N14" s="1" t="s">
        <v>83</v>
      </c>
      <c r="O14" s="1" t="s">
        <v>28</v>
      </c>
      <c r="P14" s="1"/>
      <c r="Q14" s="1" t="s">
        <v>84</v>
      </c>
    </row>
    <row r="15" spans="1:17" ht="42.75">
      <c r="A15" s="5" t="s">
        <v>121</v>
      </c>
      <c r="B15" s="5" t="s">
        <v>76</v>
      </c>
      <c r="C15" s="5" t="s">
        <v>122</v>
      </c>
      <c r="D15" s="5" t="s">
        <v>123</v>
      </c>
      <c r="E15" s="5" t="s">
        <v>124</v>
      </c>
      <c r="F15" s="5">
        <v>2</v>
      </c>
      <c r="G15" s="5" t="s">
        <v>125</v>
      </c>
      <c r="H15" s="5" t="s">
        <v>126</v>
      </c>
      <c r="I15" s="1" t="s">
        <v>117</v>
      </c>
      <c r="J15" s="5" t="s">
        <v>127</v>
      </c>
      <c r="K15" s="5" t="s">
        <v>128</v>
      </c>
      <c r="L15" s="1" t="s">
        <v>129</v>
      </c>
      <c r="M15" s="1" t="s">
        <v>130</v>
      </c>
      <c r="N15" s="1" t="s">
        <v>131</v>
      </c>
      <c r="O15" s="1" t="s">
        <v>28</v>
      </c>
      <c r="P15" s="1" t="s">
        <v>132</v>
      </c>
      <c r="Q15" s="1" t="s">
        <v>84</v>
      </c>
    </row>
    <row r="16" spans="1:17" ht="28.5">
      <c r="A16" s="5" t="s">
        <v>133</v>
      </c>
      <c r="B16" s="5" t="s">
        <v>134</v>
      </c>
      <c r="C16" s="5" t="s">
        <v>19</v>
      </c>
      <c r="D16" s="5" t="s">
        <v>135</v>
      </c>
      <c r="E16" s="5" t="s">
        <v>136</v>
      </c>
      <c r="F16" s="5">
        <v>1</v>
      </c>
      <c r="G16" s="5" t="s">
        <v>54</v>
      </c>
      <c r="H16" s="5" t="s">
        <v>137</v>
      </c>
      <c r="I16" s="5"/>
      <c r="J16" s="5" t="s">
        <v>138</v>
      </c>
      <c r="K16" s="5" t="s">
        <v>139</v>
      </c>
      <c r="L16" s="1"/>
      <c r="M16" s="1" t="s">
        <v>140</v>
      </c>
      <c r="N16" s="1" t="s">
        <v>141</v>
      </c>
      <c r="O16" s="1" t="s">
        <v>28</v>
      </c>
      <c r="P16" s="1"/>
      <c r="Q16" s="1" t="s">
        <v>142</v>
      </c>
    </row>
    <row r="17" spans="1:17" ht="28.5">
      <c r="A17" s="5" t="s">
        <v>143</v>
      </c>
      <c r="B17" s="5" t="s">
        <v>134</v>
      </c>
      <c r="C17" s="5" t="s">
        <v>19</v>
      </c>
      <c r="D17" s="5" t="s">
        <v>144</v>
      </c>
      <c r="E17" s="5" t="s">
        <v>145</v>
      </c>
      <c r="F17" s="5">
        <v>1</v>
      </c>
      <c r="G17" s="5" t="s">
        <v>54</v>
      </c>
      <c r="H17" s="5" t="s">
        <v>146</v>
      </c>
      <c r="I17" s="1"/>
      <c r="J17" s="5" t="s">
        <v>147</v>
      </c>
      <c r="K17" s="5" t="s">
        <v>148</v>
      </c>
      <c r="L17" s="1"/>
      <c r="M17" s="1" t="s">
        <v>149</v>
      </c>
      <c r="N17" s="1" t="s">
        <v>141</v>
      </c>
      <c r="O17" s="1" t="s">
        <v>28</v>
      </c>
      <c r="P17" s="1"/>
      <c r="Q17" s="1" t="s">
        <v>142</v>
      </c>
    </row>
    <row r="18" spans="1:17" ht="28.5">
      <c r="A18" s="5" t="s">
        <v>150</v>
      </c>
      <c r="B18" s="5" t="s">
        <v>134</v>
      </c>
      <c r="C18" s="5" t="s">
        <v>19</v>
      </c>
      <c r="D18" s="5" t="s">
        <v>151</v>
      </c>
      <c r="E18" s="5" t="s">
        <v>152</v>
      </c>
      <c r="F18" s="5">
        <v>1</v>
      </c>
      <c r="G18" s="5" t="s">
        <v>54</v>
      </c>
      <c r="H18" s="5" t="s">
        <v>153</v>
      </c>
      <c r="I18" s="5"/>
      <c r="J18" s="5" t="s">
        <v>154</v>
      </c>
      <c r="K18" s="5" t="s">
        <v>155</v>
      </c>
      <c r="L18" s="1"/>
      <c r="M18" s="1" t="s">
        <v>156</v>
      </c>
      <c r="N18" s="1" t="s">
        <v>141</v>
      </c>
      <c r="O18" s="1" t="s">
        <v>28</v>
      </c>
      <c r="P18" s="1"/>
      <c r="Q18" s="1" t="s">
        <v>142</v>
      </c>
    </row>
    <row r="19" spans="1:17" ht="28.5">
      <c r="A19" s="5" t="s">
        <v>157</v>
      </c>
      <c r="B19" s="5" t="s">
        <v>134</v>
      </c>
      <c r="C19" s="5" t="s">
        <v>19</v>
      </c>
      <c r="D19" s="5" t="s">
        <v>158</v>
      </c>
      <c r="E19" s="5" t="s">
        <v>159</v>
      </c>
      <c r="F19" s="5">
        <v>1</v>
      </c>
      <c r="G19" s="5" t="s">
        <v>54</v>
      </c>
      <c r="H19" s="5" t="s">
        <v>160</v>
      </c>
      <c r="I19" s="1"/>
      <c r="J19" s="5" t="s">
        <v>161</v>
      </c>
      <c r="K19" s="5" t="s">
        <v>162</v>
      </c>
      <c r="L19" s="1"/>
      <c r="M19" s="1" t="s">
        <v>163</v>
      </c>
      <c r="N19" s="1" t="s">
        <v>141</v>
      </c>
      <c r="O19" s="1" t="s">
        <v>28</v>
      </c>
      <c r="P19" s="1"/>
      <c r="Q19" s="1" t="s">
        <v>142</v>
      </c>
    </row>
    <row r="20" spans="1:17" ht="28.5">
      <c r="A20" s="5" t="s">
        <v>164</v>
      </c>
      <c r="B20" s="5" t="s">
        <v>134</v>
      </c>
      <c r="C20" s="5" t="s">
        <v>67</v>
      </c>
      <c r="D20" s="5" t="s">
        <v>165</v>
      </c>
      <c r="E20" s="5" t="s">
        <v>166</v>
      </c>
      <c r="F20" s="5">
        <v>2</v>
      </c>
      <c r="G20" s="5" t="s">
        <v>125</v>
      </c>
      <c r="H20" s="5" t="s">
        <v>167</v>
      </c>
      <c r="I20" s="5" t="s">
        <v>168</v>
      </c>
      <c r="J20" s="5" t="s">
        <v>169</v>
      </c>
      <c r="K20" s="5" t="s">
        <v>170</v>
      </c>
      <c r="L20" s="1"/>
      <c r="M20" s="1" t="s">
        <v>171</v>
      </c>
      <c r="N20" s="1" t="s">
        <v>141</v>
      </c>
      <c r="O20" s="1" t="s">
        <v>28</v>
      </c>
      <c r="P20" s="1"/>
      <c r="Q20" s="1" t="s">
        <v>142</v>
      </c>
    </row>
    <row r="21" spans="1:17" ht="42.75">
      <c r="A21" s="5" t="s">
        <v>172</v>
      </c>
      <c r="B21" s="5" t="s">
        <v>134</v>
      </c>
      <c r="C21" s="5" t="s">
        <v>122</v>
      </c>
      <c r="D21" s="5" t="s">
        <v>173</v>
      </c>
      <c r="E21" s="5" t="s">
        <v>174</v>
      </c>
      <c r="F21" s="5">
        <v>2</v>
      </c>
      <c r="G21" s="5" t="s">
        <v>125</v>
      </c>
      <c r="H21" s="5" t="s">
        <v>175</v>
      </c>
      <c r="I21" s="1" t="s">
        <v>157</v>
      </c>
      <c r="J21" s="5" t="s">
        <v>176</v>
      </c>
      <c r="K21" s="5" t="s">
        <v>177</v>
      </c>
      <c r="L21" s="1" t="s">
        <v>178</v>
      </c>
      <c r="M21" s="1" t="s">
        <v>179</v>
      </c>
      <c r="N21" s="1" t="s">
        <v>180</v>
      </c>
      <c r="O21" s="1" t="s">
        <v>28</v>
      </c>
      <c r="P21" s="1" t="s">
        <v>181</v>
      </c>
      <c r="Q21" s="1" t="s">
        <v>142</v>
      </c>
    </row>
    <row r="22" spans="1:17" ht="28.5">
      <c r="A22" s="5" t="s">
        <v>182</v>
      </c>
      <c r="B22" s="5" t="s">
        <v>134</v>
      </c>
      <c r="C22" s="5" t="s">
        <v>122</v>
      </c>
      <c r="D22" s="5" t="s">
        <v>183</v>
      </c>
      <c r="E22" s="5" t="s">
        <v>184</v>
      </c>
      <c r="F22" s="5">
        <v>2</v>
      </c>
      <c r="G22" s="5" t="s">
        <v>125</v>
      </c>
      <c r="H22" s="5" t="s">
        <v>185</v>
      </c>
      <c r="I22" s="5" t="s">
        <v>150</v>
      </c>
      <c r="J22" s="5" t="s">
        <v>186</v>
      </c>
      <c r="K22" s="5" t="s">
        <v>187</v>
      </c>
      <c r="L22" s="1" t="s">
        <v>188</v>
      </c>
      <c r="M22" s="1" t="s">
        <v>189</v>
      </c>
      <c r="N22" s="1" t="s">
        <v>190</v>
      </c>
      <c r="O22" s="1" t="s">
        <v>28</v>
      </c>
      <c r="P22" s="1" t="s">
        <v>191</v>
      </c>
      <c r="Q22" s="1" t="s">
        <v>142</v>
      </c>
    </row>
    <row r="23" spans="1:17" ht="85.5">
      <c r="A23" s="5" t="s">
        <v>192</v>
      </c>
      <c r="B23" s="5" t="s">
        <v>134</v>
      </c>
      <c r="C23" s="5" t="s">
        <v>122</v>
      </c>
      <c r="D23" s="5" t="s">
        <v>193</v>
      </c>
      <c r="E23" s="5" t="s">
        <v>194</v>
      </c>
      <c r="F23" s="5">
        <v>2</v>
      </c>
      <c r="G23" s="5" t="s">
        <v>125</v>
      </c>
      <c r="H23" s="5" t="s">
        <v>195</v>
      </c>
      <c r="I23" s="1" t="s">
        <v>133</v>
      </c>
      <c r="J23" s="5" t="s">
        <v>196</v>
      </c>
      <c r="K23" s="5" t="s">
        <v>197</v>
      </c>
      <c r="L23" s="1" t="s">
        <v>198</v>
      </c>
      <c r="M23" s="1" t="s">
        <v>199</v>
      </c>
      <c r="N23" s="1" t="s">
        <v>200</v>
      </c>
      <c r="O23" s="1" t="s">
        <v>28</v>
      </c>
      <c r="P23" s="1" t="s">
        <v>201</v>
      </c>
      <c r="Q23" s="1" t="s">
        <v>142</v>
      </c>
    </row>
    <row r="24" spans="1:17" ht="28.5">
      <c r="A24" s="5" t="s">
        <v>202</v>
      </c>
      <c r="B24" s="5" t="s">
        <v>134</v>
      </c>
      <c r="C24" s="5" t="s">
        <v>203</v>
      </c>
      <c r="D24" s="5" t="s">
        <v>204</v>
      </c>
      <c r="E24" s="5" t="s">
        <v>205</v>
      </c>
      <c r="F24" s="5">
        <v>4</v>
      </c>
      <c r="G24" s="5" t="s">
        <v>206</v>
      </c>
      <c r="H24" s="5" t="s">
        <v>207</v>
      </c>
      <c r="I24" s="5" t="s">
        <v>208</v>
      </c>
      <c r="J24" s="5" t="s">
        <v>209</v>
      </c>
      <c r="K24" s="5" t="s">
        <v>210</v>
      </c>
      <c r="L24" s="1"/>
      <c r="M24" s="1" t="s">
        <v>211</v>
      </c>
      <c r="N24" s="1" t="s">
        <v>141</v>
      </c>
      <c r="O24" s="1" t="s">
        <v>28</v>
      </c>
      <c r="P24" s="1"/>
      <c r="Q24" s="1" t="s">
        <v>142</v>
      </c>
    </row>
    <row r="25" spans="1:17" ht="28.5">
      <c r="A25" s="5" t="s">
        <v>212</v>
      </c>
      <c r="B25" s="5" t="s">
        <v>181</v>
      </c>
      <c r="C25" s="5" t="s">
        <v>19</v>
      </c>
      <c r="D25" s="5" t="s">
        <v>213</v>
      </c>
      <c r="E25" s="5" t="s">
        <v>214</v>
      </c>
      <c r="F25" s="5">
        <v>1</v>
      </c>
      <c r="G25" s="5" t="s">
        <v>54</v>
      </c>
      <c r="H25" s="5" t="s">
        <v>215</v>
      </c>
      <c r="I25" s="1" t="s">
        <v>117</v>
      </c>
      <c r="J25" s="5" t="s">
        <v>216</v>
      </c>
      <c r="K25" s="5" t="s">
        <v>217</v>
      </c>
      <c r="L25" s="1"/>
      <c r="M25" s="1" t="s">
        <v>218</v>
      </c>
      <c r="N25" s="1" t="s">
        <v>219</v>
      </c>
      <c r="O25" s="1" t="s">
        <v>28</v>
      </c>
      <c r="P25" s="1"/>
      <c r="Q25" s="1" t="s">
        <v>220</v>
      </c>
    </row>
    <row r="26" spans="1:17" ht="28.5">
      <c r="A26" s="5" t="s">
        <v>221</v>
      </c>
      <c r="B26" s="5" t="s">
        <v>181</v>
      </c>
      <c r="C26" s="5" t="s">
        <v>19</v>
      </c>
      <c r="D26" s="5" t="s">
        <v>222</v>
      </c>
      <c r="E26" s="5" t="s">
        <v>223</v>
      </c>
      <c r="F26" s="5">
        <v>1</v>
      </c>
      <c r="G26" s="5" t="s">
        <v>54</v>
      </c>
      <c r="H26" s="5" t="s">
        <v>224</v>
      </c>
      <c r="I26" s="5" t="s">
        <v>117</v>
      </c>
      <c r="J26" s="5" t="s">
        <v>225</v>
      </c>
      <c r="K26" s="5" t="s">
        <v>226</v>
      </c>
      <c r="L26" s="1"/>
      <c r="M26" s="1" t="s">
        <v>227</v>
      </c>
      <c r="N26" s="1" t="s">
        <v>219</v>
      </c>
      <c r="O26" s="1" t="s">
        <v>28</v>
      </c>
      <c r="P26" s="1"/>
      <c r="Q26" s="1" t="s">
        <v>220</v>
      </c>
    </row>
    <row r="27" spans="1:17" ht="28.5">
      <c r="A27" s="5" t="s">
        <v>228</v>
      </c>
      <c r="B27" s="5" t="s">
        <v>181</v>
      </c>
      <c r="C27" s="5" t="s">
        <v>19</v>
      </c>
      <c r="D27" s="5" t="s">
        <v>229</v>
      </c>
      <c r="E27" s="5" t="s">
        <v>230</v>
      </c>
      <c r="F27" s="5">
        <v>2</v>
      </c>
      <c r="G27" s="5" t="s">
        <v>125</v>
      </c>
      <c r="H27" s="5" t="s">
        <v>231</v>
      </c>
      <c r="I27" s="1" t="s">
        <v>168</v>
      </c>
      <c r="J27" s="5" t="s">
        <v>232</v>
      </c>
      <c r="K27" s="5" t="s">
        <v>233</v>
      </c>
      <c r="L27" s="1"/>
      <c r="M27" s="1" t="s">
        <v>234</v>
      </c>
      <c r="N27" s="1" t="s">
        <v>219</v>
      </c>
      <c r="O27" s="1" t="s">
        <v>28</v>
      </c>
      <c r="P27" s="1"/>
      <c r="Q27" s="1" t="s">
        <v>220</v>
      </c>
    </row>
    <row r="28" spans="1:17" ht="28.5">
      <c r="A28" s="5" t="s">
        <v>235</v>
      </c>
      <c r="B28" s="5" t="s">
        <v>181</v>
      </c>
      <c r="C28" s="5" t="s">
        <v>67</v>
      </c>
      <c r="D28" s="5" t="s">
        <v>236</v>
      </c>
      <c r="E28" s="5" t="s">
        <v>237</v>
      </c>
      <c r="F28" s="5">
        <v>2</v>
      </c>
      <c r="G28" s="5" t="s">
        <v>125</v>
      </c>
      <c r="H28" s="5" t="s">
        <v>238</v>
      </c>
      <c r="I28" s="5" t="s">
        <v>117</v>
      </c>
      <c r="J28" s="5" t="s">
        <v>239</v>
      </c>
      <c r="K28" s="5" t="s">
        <v>240</v>
      </c>
      <c r="L28" s="1"/>
      <c r="M28" s="1" t="s">
        <v>241</v>
      </c>
      <c r="N28" s="1" t="s">
        <v>219</v>
      </c>
      <c r="O28" s="1" t="s">
        <v>28</v>
      </c>
      <c r="P28" s="1"/>
      <c r="Q28" s="1" t="s">
        <v>220</v>
      </c>
    </row>
    <row r="29" spans="1:17" ht="42.75">
      <c r="A29" s="5" t="s">
        <v>242</v>
      </c>
      <c r="B29" s="5" t="s">
        <v>181</v>
      </c>
      <c r="C29" s="5" t="s">
        <v>122</v>
      </c>
      <c r="D29" s="5" t="s">
        <v>243</v>
      </c>
      <c r="E29" s="5" t="s">
        <v>244</v>
      </c>
      <c r="F29" s="5">
        <v>2</v>
      </c>
      <c r="G29" s="5" t="s">
        <v>125</v>
      </c>
      <c r="H29" s="5" t="s">
        <v>245</v>
      </c>
      <c r="I29" s="1" t="s">
        <v>246</v>
      </c>
      <c r="J29" s="5" t="s">
        <v>247</v>
      </c>
      <c r="K29" s="5" t="s">
        <v>248</v>
      </c>
      <c r="L29" s="1" t="s">
        <v>249</v>
      </c>
      <c r="M29" s="1" t="s">
        <v>250</v>
      </c>
      <c r="N29" s="1" t="s">
        <v>251</v>
      </c>
      <c r="O29" s="1" t="s">
        <v>28</v>
      </c>
      <c r="P29" s="1" t="s">
        <v>252</v>
      </c>
      <c r="Q29" s="1" t="s">
        <v>220</v>
      </c>
    </row>
    <row r="30" spans="1:17" ht="42.75">
      <c r="A30" s="5" t="s">
        <v>253</v>
      </c>
      <c r="B30" s="5" t="s">
        <v>181</v>
      </c>
      <c r="C30" s="5" t="s">
        <v>122</v>
      </c>
      <c r="D30" s="5" t="s">
        <v>254</v>
      </c>
      <c r="E30" s="5" t="s">
        <v>255</v>
      </c>
      <c r="F30" s="5">
        <v>2</v>
      </c>
      <c r="G30" s="5" t="s">
        <v>125</v>
      </c>
      <c r="H30" s="5" t="s">
        <v>256</v>
      </c>
      <c r="I30" s="5" t="s">
        <v>246</v>
      </c>
      <c r="J30" s="5" t="s">
        <v>257</v>
      </c>
      <c r="K30" s="5" t="s">
        <v>258</v>
      </c>
      <c r="L30" s="1" t="s">
        <v>259</v>
      </c>
      <c r="M30" s="1" t="s">
        <v>260</v>
      </c>
      <c r="N30" s="1" t="s">
        <v>219</v>
      </c>
      <c r="O30" s="1" t="s">
        <v>28</v>
      </c>
      <c r="P30" s="1"/>
      <c r="Q30" s="1" t="s">
        <v>220</v>
      </c>
    </row>
    <row r="31" spans="1:17" ht="28.5">
      <c r="A31" s="5" t="s">
        <v>261</v>
      </c>
      <c r="B31" s="5" t="s">
        <v>132</v>
      </c>
      <c r="C31" s="5" t="s">
        <v>19</v>
      </c>
      <c r="D31" s="5" t="s">
        <v>262</v>
      </c>
      <c r="E31" s="5" t="s">
        <v>263</v>
      </c>
      <c r="F31" s="5">
        <v>1</v>
      </c>
      <c r="G31" s="5" t="s">
        <v>54</v>
      </c>
      <c r="H31" s="5" t="s">
        <v>264</v>
      </c>
      <c r="I31" s="1"/>
      <c r="J31" s="5" t="s">
        <v>265</v>
      </c>
      <c r="K31" s="5" t="s">
        <v>266</v>
      </c>
      <c r="L31" s="1"/>
      <c r="M31" s="1" t="s">
        <v>267</v>
      </c>
      <c r="N31" s="1" t="s">
        <v>268</v>
      </c>
      <c r="O31" s="1" t="s">
        <v>28</v>
      </c>
      <c r="P31" s="1"/>
      <c r="Q31" s="1" t="s">
        <v>269</v>
      </c>
    </row>
    <row r="32" spans="1:17" ht="28.5">
      <c r="A32" s="5" t="s">
        <v>270</v>
      </c>
      <c r="B32" s="5" t="s">
        <v>132</v>
      </c>
      <c r="C32" s="5" t="s">
        <v>19</v>
      </c>
      <c r="D32" s="5" t="s">
        <v>271</v>
      </c>
      <c r="E32" s="5" t="s">
        <v>272</v>
      </c>
      <c r="F32" s="5">
        <v>2</v>
      </c>
      <c r="G32" s="5" t="s">
        <v>125</v>
      </c>
      <c r="H32" s="5" t="s">
        <v>273</v>
      </c>
      <c r="I32" s="5" t="s">
        <v>261</v>
      </c>
      <c r="J32" s="5" t="s">
        <v>274</v>
      </c>
      <c r="K32" s="5" t="s">
        <v>275</v>
      </c>
      <c r="L32" s="1"/>
      <c r="M32" s="1" t="s">
        <v>276</v>
      </c>
      <c r="N32" s="1" t="s">
        <v>268</v>
      </c>
      <c r="O32" s="1" t="s">
        <v>28</v>
      </c>
      <c r="P32" s="1"/>
      <c r="Q32" s="1" t="s">
        <v>269</v>
      </c>
    </row>
    <row r="33" spans="1:17" ht="42.75">
      <c r="A33" s="5" t="s">
        <v>277</v>
      </c>
      <c r="B33" s="5" t="s">
        <v>132</v>
      </c>
      <c r="C33" s="5" t="s">
        <v>67</v>
      </c>
      <c r="D33" s="5" t="s">
        <v>278</v>
      </c>
      <c r="E33" s="5" t="s">
        <v>279</v>
      </c>
      <c r="F33" s="5">
        <v>2</v>
      </c>
      <c r="G33" s="5" t="s">
        <v>125</v>
      </c>
      <c r="H33" s="5" t="s">
        <v>280</v>
      </c>
      <c r="I33" s="1"/>
      <c r="J33" s="5" t="s">
        <v>281</v>
      </c>
      <c r="K33" s="5" t="s">
        <v>282</v>
      </c>
      <c r="L33" s="1"/>
      <c r="M33" s="1" t="s">
        <v>283</v>
      </c>
      <c r="N33" s="1" t="s">
        <v>268</v>
      </c>
      <c r="O33" s="1" t="s">
        <v>28</v>
      </c>
      <c r="P33" s="1"/>
      <c r="Q33" s="1" t="s">
        <v>269</v>
      </c>
    </row>
    <row r="34" spans="1:17" ht="42.75">
      <c r="A34" s="5" t="s">
        <v>284</v>
      </c>
      <c r="B34" s="5" t="s">
        <v>132</v>
      </c>
      <c r="C34" s="5" t="s">
        <v>122</v>
      </c>
      <c r="D34" s="5" t="s">
        <v>285</v>
      </c>
      <c r="E34" s="5" t="s">
        <v>286</v>
      </c>
      <c r="F34" s="5">
        <v>2</v>
      </c>
      <c r="G34" s="5" t="s">
        <v>125</v>
      </c>
      <c r="H34" s="5" t="s">
        <v>287</v>
      </c>
      <c r="I34" s="5" t="s">
        <v>261</v>
      </c>
      <c r="J34" s="5" t="s">
        <v>288</v>
      </c>
      <c r="K34" s="5" t="s">
        <v>289</v>
      </c>
      <c r="L34" s="1" t="s">
        <v>290</v>
      </c>
      <c r="M34" s="1" t="s">
        <v>291</v>
      </c>
      <c r="N34" s="1" t="s">
        <v>292</v>
      </c>
      <c r="O34" s="1" t="s">
        <v>28</v>
      </c>
      <c r="P34" s="1" t="s">
        <v>76</v>
      </c>
      <c r="Q34" s="1" t="s">
        <v>269</v>
      </c>
    </row>
    <row r="35" spans="1:17" ht="28.5">
      <c r="A35" s="5" t="s">
        <v>293</v>
      </c>
      <c r="B35" s="5" t="s">
        <v>132</v>
      </c>
      <c r="C35" s="5" t="s">
        <v>122</v>
      </c>
      <c r="D35" s="5" t="s">
        <v>294</v>
      </c>
      <c r="E35" s="5" t="s">
        <v>295</v>
      </c>
      <c r="F35" s="5">
        <v>3</v>
      </c>
      <c r="G35" s="5" t="s">
        <v>296</v>
      </c>
      <c r="H35" s="5" t="s">
        <v>297</v>
      </c>
      <c r="I35" s="1" t="s">
        <v>284</v>
      </c>
      <c r="J35" s="5" t="s">
        <v>298</v>
      </c>
      <c r="K35" s="5" t="s">
        <v>299</v>
      </c>
      <c r="L35" s="1" t="s">
        <v>300</v>
      </c>
      <c r="M35" s="1" t="s">
        <v>301</v>
      </c>
      <c r="N35" s="1" t="s">
        <v>302</v>
      </c>
      <c r="O35" s="1" t="s">
        <v>28</v>
      </c>
      <c r="P35" s="1" t="s">
        <v>134</v>
      </c>
      <c r="Q35" s="1" t="s">
        <v>269</v>
      </c>
    </row>
    <row r="36" spans="1:17" ht="42.75">
      <c r="A36" s="5" t="s">
        <v>303</v>
      </c>
      <c r="B36" s="5" t="s">
        <v>132</v>
      </c>
      <c r="C36" s="5" t="s">
        <v>203</v>
      </c>
      <c r="D36" s="5" t="s">
        <v>304</v>
      </c>
      <c r="E36" s="5" t="s">
        <v>305</v>
      </c>
      <c r="F36" s="5">
        <v>4</v>
      </c>
      <c r="G36" s="5" t="s">
        <v>206</v>
      </c>
      <c r="H36" s="5" t="s">
        <v>306</v>
      </c>
      <c r="I36" s="5" t="s">
        <v>284</v>
      </c>
      <c r="J36" s="5" t="s">
        <v>307</v>
      </c>
      <c r="K36" s="5" t="s">
        <v>308</v>
      </c>
      <c r="L36" s="1"/>
      <c r="M36" s="1" t="s">
        <v>309</v>
      </c>
      <c r="N36" s="1" t="s">
        <v>268</v>
      </c>
      <c r="O36" s="1" t="s">
        <v>28</v>
      </c>
      <c r="P36" s="1"/>
      <c r="Q36" s="1" t="s">
        <v>269</v>
      </c>
    </row>
    <row r="37" spans="1:17" ht="28.5">
      <c r="A37" s="5" t="s">
        <v>310</v>
      </c>
      <c r="B37" s="5" t="s">
        <v>252</v>
      </c>
      <c r="C37" s="5" t="s">
        <v>19</v>
      </c>
      <c r="D37" s="5" t="s">
        <v>311</v>
      </c>
      <c r="E37" s="5" t="s">
        <v>312</v>
      </c>
      <c r="F37" s="5">
        <v>1</v>
      </c>
      <c r="G37" s="5" t="s">
        <v>54</v>
      </c>
      <c r="H37" s="5" t="s">
        <v>215</v>
      </c>
      <c r="I37" s="1"/>
      <c r="J37" s="5" t="s">
        <v>313</v>
      </c>
      <c r="K37" s="5" t="s">
        <v>314</v>
      </c>
      <c r="L37" s="1"/>
      <c r="M37" s="1" t="s">
        <v>315</v>
      </c>
      <c r="N37" s="1" t="s">
        <v>316</v>
      </c>
      <c r="O37" s="1" t="s">
        <v>28</v>
      </c>
      <c r="P37" s="1"/>
      <c r="Q37" s="1" t="s">
        <v>317</v>
      </c>
    </row>
    <row r="38" spans="1:17" ht="28.5">
      <c r="A38" s="5" t="s">
        <v>318</v>
      </c>
      <c r="B38" s="5" t="s">
        <v>252</v>
      </c>
      <c r="C38" s="5" t="s">
        <v>19</v>
      </c>
      <c r="D38" s="5" t="s">
        <v>319</v>
      </c>
      <c r="E38" s="5" t="s">
        <v>320</v>
      </c>
      <c r="F38" s="5">
        <v>2</v>
      </c>
      <c r="G38" s="5" t="s">
        <v>125</v>
      </c>
      <c r="H38" s="5" t="s">
        <v>321</v>
      </c>
      <c r="I38" s="5" t="s">
        <v>310</v>
      </c>
      <c r="J38" s="5" t="s">
        <v>322</v>
      </c>
      <c r="K38" s="5" t="s">
        <v>323</v>
      </c>
      <c r="L38" s="1"/>
      <c r="M38" s="1" t="s">
        <v>324</v>
      </c>
      <c r="N38" s="1" t="s">
        <v>316</v>
      </c>
      <c r="O38" s="1" t="s">
        <v>28</v>
      </c>
      <c r="P38" s="1"/>
      <c r="Q38" s="1" t="s">
        <v>317</v>
      </c>
    </row>
    <row r="39" spans="1:17" ht="28.5">
      <c r="A39" s="5" t="s">
        <v>325</v>
      </c>
      <c r="B39" s="5" t="s">
        <v>252</v>
      </c>
      <c r="C39" s="5" t="s">
        <v>67</v>
      </c>
      <c r="D39" s="5" t="s">
        <v>326</v>
      </c>
      <c r="E39" s="5" t="s">
        <v>327</v>
      </c>
      <c r="F39" s="5">
        <v>1</v>
      </c>
      <c r="G39" s="5" t="s">
        <v>54</v>
      </c>
      <c r="H39" s="5" t="s">
        <v>328</v>
      </c>
      <c r="I39" s="1"/>
      <c r="J39" s="5" t="s">
        <v>329</v>
      </c>
      <c r="K39" s="5" t="s">
        <v>330</v>
      </c>
      <c r="L39" s="1"/>
      <c r="M39" s="1" t="s">
        <v>331</v>
      </c>
      <c r="N39" s="1" t="s">
        <v>316</v>
      </c>
      <c r="O39" s="1" t="s">
        <v>28</v>
      </c>
      <c r="P39" s="1"/>
      <c r="Q39" s="1" t="s">
        <v>317</v>
      </c>
    </row>
    <row r="40" spans="1:17" ht="42.75">
      <c r="A40" s="5" t="s">
        <v>332</v>
      </c>
      <c r="B40" s="5" t="s">
        <v>252</v>
      </c>
      <c r="C40" s="5" t="s">
        <v>122</v>
      </c>
      <c r="D40" s="5" t="s">
        <v>333</v>
      </c>
      <c r="E40" s="5" t="s">
        <v>334</v>
      </c>
      <c r="F40" s="5">
        <v>3</v>
      </c>
      <c r="G40" s="5" t="s">
        <v>296</v>
      </c>
      <c r="H40" s="5" t="s">
        <v>335</v>
      </c>
      <c r="I40" s="5" t="s">
        <v>261</v>
      </c>
      <c r="J40" s="5" t="s">
        <v>336</v>
      </c>
      <c r="K40" s="5" t="s">
        <v>337</v>
      </c>
      <c r="L40" s="1" t="s">
        <v>338</v>
      </c>
      <c r="M40" s="1" t="s">
        <v>339</v>
      </c>
      <c r="N40" s="1" t="s">
        <v>340</v>
      </c>
      <c r="O40" s="1" t="s">
        <v>28</v>
      </c>
      <c r="P40" s="1" t="s">
        <v>341</v>
      </c>
      <c r="Q40" s="1" t="s">
        <v>317</v>
      </c>
    </row>
    <row r="41" spans="1:17" ht="28.5">
      <c r="A41" s="5" t="s">
        <v>342</v>
      </c>
      <c r="B41" s="5" t="s">
        <v>252</v>
      </c>
      <c r="C41" s="5" t="s">
        <v>122</v>
      </c>
      <c r="D41" s="5" t="s">
        <v>343</v>
      </c>
      <c r="E41" s="5" t="s">
        <v>344</v>
      </c>
      <c r="F41" s="5">
        <v>3</v>
      </c>
      <c r="G41" s="5" t="s">
        <v>296</v>
      </c>
      <c r="H41" s="5" t="s">
        <v>345</v>
      </c>
      <c r="I41" s="1" t="s">
        <v>318</v>
      </c>
      <c r="J41" s="5" t="s">
        <v>346</v>
      </c>
      <c r="K41" s="5" t="s">
        <v>347</v>
      </c>
      <c r="L41" s="1" t="s">
        <v>348</v>
      </c>
      <c r="M41" s="1" t="s">
        <v>349</v>
      </c>
      <c r="N41" s="1" t="s">
        <v>350</v>
      </c>
      <c r="O41" s="1" t="s">
        <v>28</v>
      </c>
      <c r="P41" s="1" t="s">
        <v>351</v>
      </c>
      <c r="Q41" s="1" t="s">
        <v>317</v>
      </c>
    </row>
    <row r="42" spans="1:17" ht="42.75">
      <c r="A42" s="5" t="s">
        <v>352</v>
      </c>
      <c r="B42" s="5" t="s">
        <v>252</v>
      </c>
      <c r="C42" s="5" t="s">
        <v>203</v>
      </c>
      <c r="D42" s="5" t="s">
        <v>353</v>
      </c>
      <c r="E42" s="5" t="s">
        <v>354</v>
      </c>
      <c r="F42" s="5">
        <v>4</v>
      </c>
      <c r="G42" s="5" t="s">
        <v>206</v>
      </c>
      <c r="H42" s="5" t="s">
        <v>355</v>
      </c>
      <c r="I42" s="5" t="s">
        <v>342</v>
      </c>
      <c r="J42" s="5" t="s">
        <v>356</v>
      </c>
      <c r="K42" s="5" t="s">
        <v>357</v>
      </c>
      <c r="L42" s="1"/>
      <c r="M42" s="1" t="s">
        <v>358</v>
      </c>
      <c r="N42" s="1" t="s">
        <v>316</v>
      </c>
      <c r="O42" s="1" t="s">
        <v>28</v>
      </c>
      <c r="P42" s="1"/>
      <c r="Q42" s="1" t="s">
        <v>317</v>
      </c>
    </row>
    <row r="43" spans="1:17" ht="57">
      <c r="A43" s="5" t="s">
        <v>359</v>
      </c>
      <c r="B43" s="5" t="s">
        <v>341</v>
      </c>
      <c r="C43" s="5" t="s">
        <v>19</v>
      </c>
      <c r="D43" s="5" t="s">
        <v>360</v>
      </c>
      <c r="E43" s="5" t="s">
        <v>361</v>
      </c>
      <c r="F43" s="5">
        <v>1</v>
      </c>
      <c r="G43" s="5" t="s">
        <v>54</v>
      </c>
      <c r="H43" s="5" t="s">
        <v>362</v>
      </c>
      <c r="I43" s="1"/>
      <c r="J43" s="5" t="s">
        <v>363</v>
      </c>
      <c r="K43" s="5" t="s">
        <v>364</v>
      </c>
      <c r="L43" s="1"/>
      <c r="M43" s="1" t="s">
        <v>365</v>
      </c>
      <c r="N43" s="1" t="s">
        <v>366</v>
      </c>
      <c r="O43" s="1" t="s">
        <v>28</v>
      </c>
      <c r="P43" s="1"/>
      <c r="Q43" s="1" t="s">
        <v>367</v>
      </c>
    </row>
    <row r="44" spans="1:17" ht="42.75">
      <c r="A44" s="5" t="s">
        <v>368</v>
      </c>
      <c r="B44" s="5" t="s">
        <v>341</v>
      </c>
      <c r="C44" s="5" t="s">
        <v>19</v>
      </c>
      <c r="D44" s="5" t="s">
        <v>369</v>
      </c>
      <c r="E44" s="5" t="s">
        <v>370</v>
      </c>
      <c r="F44" s="5">
        <v>1</v>
      </c>
      <c r="G44" s="5" t="s">
        <v>54</v>
      </c>
      <c r="H44" s="5" t="s">
        <v>371</v>
      </c>
      <c r="I44" s="5" t="s">
        <v>359</v>
      </c>
      <c r="J44" s="5" t="s">
        <v>372</v>
      </c>
      <c r="K44" s="5" t="s">
        <v>373</v>
      </c>
      <c r="L44" s="1"/>
      <c r="M44" s="1" t="s">
        <v>374</v>
      </c>
      <c r="N44" s="1" t="s">
        <v>375</v>
      </c>
      <c r="O44" s="1" t="s">
        <v>28</v>
      </c>
      <c r="P44" s="1"/>
      <c r="Q44" s="1" t="s">
        <v>376</v>
      </c>
    </row>
    <row r="45" spans="1:17" ht="57">
      <c r="A45" s="5" t="s">
        <v>377</v>
      </c>
      <c r="B45" s="5" t="s">
        <v>341</v>
      </c>
      <c r="C45" s="5" t="s">
        <v>19</v>
      </c>
      <c r="D45" s="5" t="s">
        <v>378</v>
      </c>
      <c r="E45" s="5" t="s">
        <v>379</v>
      </c>
      <c r="F45" s="5">
        <v>2</v>
      </c>
      <c r="G45" s="5" t="s">
        <v>125</v>
      </c>
      <c r="H45" s="5" t="s">
        <v>380</v>
      </c>
      <c r="I45" s="1" t="s">
        <v>381</v>
      </c>
      <c r="J45" s="5" t="s">
        <v>382</v>
      </c>
      <c r="K45" s="5" t="s">
        <v>383</v>
      </c>
      <c r="L45" s="1"/>
      <c r="M45" s="1" t="s">
        <v>384</v>
      </c>
      <c r="N45" s="1" t="s">
        <v>385</v>
      </c>
      <c r="O45" s="1" t="s">
        <v>28</v>
      </c>
      <c r="P45" s="1"/>
      <c r="Q45" s="1" t="s">
        <v>386</v>
      </c>
    </row>
    <row r="46" spans="1:17" ht="42.75">
      <c r="A46" s="5" t="s">
        <v>387</v>
      </c>
      <c r="B46" s="5" t="s">
        <v>341</v>
      </c>
      <c r="C46" s="5" t="s">
        <v>19</v>
      </c>
      <c r="D46" s="5" t="s">
        <v>388</v>
      </c>
      <c r="E46" s="5" t="s">
        <v>389</v>
      </c>
      <c r="F46" s="5">
        <v>2</v>
      </c>
      <c r="G46" s="5" t="s">
        <v>125</v>
      </c>
      <c r="H46" s="5" t="s">
        <v>390</v>
      </c>
      <c r="I46" s="5" t="s">
        <v>359</v>
      </c>
      <c r="J46" s="5" t="s">
        <v>391</v>
      </c>
      <c r="K46" s="5" t="s">
        <v>392</v>
      </c>
      <c r="L46" s="1"/>
      <c r="M46" s="1" t="s">
        <v>393</v>
      </c>
      <c r="N46" s="1" t="s">
        <v>394</v>
      </c>
      <c r="O46" s="1" t="s">
        <v>28</v>
      </c>
      <c r="P46" s="1"/>
      <c r="Q46" s="1" t="s">
        <v>395</v>
      </c>
    </row>
    <row r="47" spans="1:17" ht="42.75">
      <c r="A47" s="5" t="s">
        <v>396</v>
      </c>
      <c r="B47" s="5" t="s">
        <v>341</v>
      </c>
      <c r="C47" s="5" t="s">
        <v>67</v>
      </c>
      <c r="D47" s="5" t="s">
        <v>397</v>
      </c>
      <c r="E47" s="5" t="s">
        <v>398</v>
      </c>
      <c r="F47" s="5">
        <v>2</v>
      </c>
      <c r="G47" s="5" t="s">
        <v>125</v>
      </c>
      <c r="H47" s="5" t="s">
        <v>399</v>
      </c>
      <c r="I47" s="1" t="s">
        <v>359</v>
      </c>
      <c r="J47" s="5" t="s">
        <v>400</v>
      </c>
      <c r="K47" s="5" t="s">
        <v>401</v>
      </c>
      <c r="L47" s="1"/>
      <c r="M47" s="1" t="s">
        <v>402</v>
      </c>
      <c r="N47" s="1" t="s">
        <v>403</v>
      </c>
      <c r="O47" s="1" t="s">
        <v>28</v>
      </c>
      <c r="P47" s="1"/>
      <c r="Q47" s="1" t="s">
        <v>404</v>
      </c>
    </row>
    <row r="48" spans="1:17" ht="57">
      <c r="A48" s="5" t="s">
        <v>405</v>
      </c>
      <c r="B48" s="5" t="s">
        <v>341</v>
      </c>
      <c r="C48" s="5" t="s">
        <v>122</v>
      </c>
      <c r="D48" s="5" t="s">
        <v>406</v>
      </c>
      <c r="E48" s="5" t="s">
        <v>407</v>
      </c>
      <c r="F48" s="5">
        <v>2</v>
      </c>
      <c r="G48" s="5" t="s">
        <v>125</v>
      </c>
      <c r="H48" s="5" t="s">
        <v>408</v>
      </c>
      <c r="I48" s="5" t="s">
        <v>409</v>
      </c>
      <c r="J48" s="5" t="s">
        <v>410</v>
      </c>
      <c r="K48" s="5" t="s">
        <v>411</v>
      </c>
      <c r="L48" s="1" t="s">
        <v>412</v>
      </c>
      <c r="M48" s="1" t="s">
        <v>413</v>
      </c>
      <c r="N48" s="1" t="s">
        <v>414</v>
      </c>
      <c r="O48" s="1" t="s">
        <v>28</v>
      </c>
      <c r="P48" s="1"/>
      <c r="Q48" s="1" t="s">
        <v>415</v>
      </c>
    </row>
    <row r="49" spans="1:17" ht="57">
      <c r="A49" s="5" t="s">
        <v>416</v>
      </c>
      <c r="B49" s="5" t="s">
        <v>341</v>
      </c>
      <c r="C49" s="5" t="s">
        <v>122</v>
      </c>
      <c r="D49" s="5" t="s">
        <v>417</v>
      </c>
      <c r="E49" s="5" t="s">
        <v>418</v>
      </c>
      <c r="F49" s="5">
        <v>3</v>
      </c>
      <c r="G49" s="5" t="s">
        <v>296</v>
      </c>
      <c r="H49" s="5" t="s">
        <v>419</v>
      </c>
      <c r="I49" s="1" t="s">
        <v>420</v>
      </c>
      <c r="J49" s="5" t="s">
        <v>421</v>
      </c>
      <c r="K49" s="5" t="s">
        <v>422</v>
      </c>
      <c r="L49" s="1" t="s">
        <v>423</v>
      </c>
      <c r="M49" s="1" t="s">
        <v>424</v>
      </c>
      <c r="N49" s="1" t="s">
        <v>425</v>
      </c>
      <c r="O49" s="1" t="s">
        <v>28</v>
      </c>
      <c r="P49" s="1"/>
      <c r="Q49" s="1" t="s">
        <v>426</v>
      </c>
    </row>
    <row r="50" spans="1:17" ht="57">
      <c r="A50" s="5" t="s">
        <v>427</v>
      </c>
      <c r="B50" s="5" t="s">
        <v>341</v>
      </c>
      <c r="C50" s="5" t="s">
        <v>203</v>
      </c>
      <c r="D50" s="5" t="s">
        <v>428</v>
      </c>
      <c r="E50" s="5" t="s">
        <v>429</v>
      </c>
      <c r="F50" s="5">
        <v>4</v>
      </c>
      <c r="G50" s="5" t="s">
        <v>206</v>
      </c>
      <c r="H50" s="5" t="s">
        <v>430</v>
      </c>
      <c r="I50" s="5" t="s">
        <v>416</v>
      </c>
      <c r="J50" s="5" t="s">
        <v>431</v>
      </c>
      <c r="K50" s="5" t="s">
        <v>432</v>
      </c>
      <c r="L50" s="1"/>
      <c r="M50" s="1" t="s">
        <v>433</v>
      </c>
      <c r="N50" s="1" t="s">
        <v>434</v>
      </c>
      <c r="O50" s="1" t="s">
        <v>28</v>
      </c>
      <c r="P50" s="1"/>
      <c r="Q50" s="1" t="s">
        <v>435</v>
      </c>
    </row>
    <row r="51" spans="1:17" ht="57">
      <c r="A51" s="5" t="s">
        <v>436</v>
      </c>
      <c r="B51" s="5" t="s">
        <v>351</v>
      </c>
      <c r="C51" s="5" t="s">
        <v>19</v>
      </c>
      <c r="D51" s="5" t="s">
        <v>437</v>
      </c>
      <c r="E51" s="5" t="s">
        <v>438</v>
      </c>
      <c r="F51" s="5">
        <v>1</v>
      </c>
      <c r="G51" s="5" t="s">
        <v>54</v>
      </c>
      <c r="H51" s="5" t="s">
        <v>439</v>
      </c>
      <c r="I51" s="1" t="s">
        <v>359</v>
      </c>
      <c r="J51" s="5" t="s">
        <v>440</v>
      </c>
      <c r="K51" s="5" t="s">
        <v>441</v>
      </c>
      <c r="L51" s="1"/>
      <c r="M51" s="1" t="s">
        <v>442</v>
      </c>
      <c r="N51" s="1" t="s">
        <v>443</v>
      </c>
      <c r="O51" s="1" t="s">
        <v>28</v>
      </c>
      <c r="P51" s="1"/>
      <c r="Q51" s="1" t="s">
        <v>444</v>
      </c>
    </row>
    <row r="52" spans="1:17" ht="57">
      <c r="A52" s="5" t="s">
        <v>445</v>
      </c>
      <c r="B52" s="5" t="s">
        <v>351</v>
      </c>
      <c r="C52" s="5" t="s">
        <v>19</v>
      </c>
      <c r="D52" s="5" t="s">
        <v>446</v>
      </c>
      <c r="E52" s="5" t="s">
        <v>447</v>
      </c>
      <c r="F52" s="5">
        <v>2</v>
      </c>
      <c r="G52" s="5" t="s">
        <v>125</v>
      </c>
      <c r="H52" s="5" t="s">
        <v>448</v>
      </c>
      <c r="I52" s="5" t="s">
        <v>436</v>
      </c>
      <c r="J52" s="5" t="s">
        <v>449</v>
      </c>
      <c r="K52" s="5" t="s">
        <v>450</v>
      </c>
      <c r="L52" s="1"/>
      <c r="M52" s="1" t="s">
        <v>451</v>
      </c>
      <c r="N52" s="1" t="s">
        <v>452</v>
      </c>
      <c r="O52" s="1" t="s">
        <v>28</v>
      </c>
      <c r="P52" s="1"/>
      <c r="Q52" s="1" t="s">
        <v>453</v>
      </c>
    </row>
    <row r="53" spans="1:17" ht="57">
      <c r="A53" s="5" t="s">
        <v>454</v>
      </c>
      <c r="B53" s="5" t="s">
        <v>351</v>
      </c>
      <c r="C53" s="5" t="s">
        <v>19</v>
      </c>
      <c r="D53" s="5" t="s">
        <v>455</v>
      </c>
      <c r="E53" s="5" t="s">
        <v>456</v>
      </c>
      <c r="F53" s="5">
        <v>2</v>
      </c>
      <c r="G53" s="5" t="s">
        <v>125</v>
      </c>
      <c r="H53" s="5" t="s">
        <v>457</v>
      </c>
      <c r="I53" s="1" t="s">
        <v>359</v>
      </c>
      <c r="J53" s="5" t="s">
        <v>458</v>
      </c>
      <c r="K53" s="5" t="s">
        <v>459</v>
      </c>
      <c r="L53" s="1"/>
      <c r="M53" s="1" t="s">
        <v>460</v>
      </c>
      <c r="N53" s="1" t="s">
        <v>461</v>
      </c>
      <c r="O53" s="1" t="s">
        <v>28</v>
      </c>
      <c r="P53" s="1"/>
      <c r="Q53" s="1" t="s">
        <v>462</v>
      </c>
    </row>
    <row r="54" spans="1:17" ht="57">
      <c r="A54" s="5" t="s">
        <v>463</v>
      </c>
      <c r="B54" s="5" t="s">
        <v>351</v>
      </c>
      <c r="C54" s="5" t="s">
        <v>19</v>
      </c>
      <c r="D54" s="5" t="s">
        <v>464</v>
      </c>
      <c r="E54" s="5" t="s">
        <v>465</v>
      </c>
      <c r="F54" s="5">
        <v>1</v>
      </c>
      <c r="G54" s="5" t="s">
        <v>54</v>
      </c>
      <c r="H54" s="5" t="s">
        <v>466</v>
      </c>
      <c r="I54" s="5" t="s">
        <v>359</v>
      </c>
      <c r="J54" s="5" t="s">
        <v>467</v>
      </c>
      <c r="K54" s="5" t="s">
        <v>468</v>
      </c>
      <c r="L54" s="1"/>
      <c r="M54" s="1" t="s">
        <v>469</v>
      </c>
      <c r="N54" s="1" t="s">
        <v>470</v>
      </c>
      <c r="O54" s="1" t="s">
        <v>28</v>
      </c>
      <c r="P54" s="1"/>
      <c r="Q54" s="1" t="s">
        <v>471</v>
      </c>
    </row>
    <row r="55" spans="1:17" ht="57">
      <c r="A55" s="5" t="s">
        <v>472</v>
      </c>
      <c r="B55" s="5" t="s">
        <v>351</v>
      </c>
      <c r="C55" s="5" t="s">
        <v>67</v>
      </c>
      <c r="D55" s="5" t="s">
        <v>473</v>
      </c>
      <c r="E55" s="5" t="s">
        <v>474</v>
      </c>
      <c r="F55" s="5">
        <v>2</v>
      </c>
      <c r="G55" s="5" t="s">
        <v>125</v>
      </c>
      <c r="H55" s="5" t="s">
        <v>475</v>
      </c>
      <c r="I55" s="1" t="s">
        <v>436</v>
      </c>
      <c r="J55" s="5" t="s">
        <v>476</v>
      </c>
      <c r="K55" s="5" t="s">
        <v>477</v>
      </c>
      <c r="L55" s="1"/>
      <c r="M55" s="1" t="s">
        <v>478</v>
      </c>
      <c r="N55" s="1" t="s">
        <v>479</v>
      </c>
      <c r="O55" s="1" t="s">
        <v>28</v>
      </c>
      <c r="P55" s="1"/>
      <c r="Q55" s="1" t="s">
        <v>480</v>
      </c>
    </row>
    <row r="56" spans="1:17" ht="57">
      <c r="A56" s="5" t="s">
        <v>481</v>
      </c>
      <c r="B56" s="5" t="s">
        <v>351</v>
      </c>
      <c r="C56" s="5" t="s">
        <v>122</v>
      </c>
      <c r="D56" s="5" t="s">
        <v>482</v>
      </c>
      <c r="E56" s="5" t="s">
        <v>483</v>
      </c>
      <c r="F56" s="5">
        <v>2</v>
      </c>
      <c r="G56" s="5" t="s">
        <v>125</v>
      </c>
      <c r="H56" s="5" t="s">
        <v>484</v>
      </c>
      <c r="I56" s="5" t="s">
        <v>485</v>
      </c>
      <c r="J56" s="5" t="s">
        <v>486</v>
      </c>
      <c r="K56" s="5" t="s">
        <v>487</v>
      </c>
      <c r="L56" s="1" t="s">
        <v>488</v>
      </c>
      <c r="M56" s="1" t="s">
        <v>489</v>
      </c>
      <c r="N56" s="1" t="s">
        <v>490</v>
      </c>
      <c r="O56" s="1" t="s">
        <v>28</v>
      </c>
      <c r="P56" s="1"/>
      <c r="Q56" s="1" t="s">
        <v>491</v>
      </c>
    </row>
    <row r="57" spans="1:17" ht="57">
      <c r="A57" s="5" t="s">
        <v>492</v>
      </c>
      <c r="B57" s="5" t="s">
        <v>351</v>
      </c>
      <c r="C57" s="5" t="s">
        <v>122</v>
      </c>
      <c r="D57" s="5" t="s">
        <v>493</v>
      </c>
      <c r="E57" s="5" t="s">
        <v>494</v>
      </c>
      <c r="F57" s="5">
        <v>3</v>
      </c>
      <c r="G57" s="5" t="s">
        <v>296</v>
      </c>
      <c r="H57" s="5" t="s">
        <v>495</v>
      </c>
      <c r="I57" s="1" t="s">
        <v>454</v>
      </c>
      <c r="J57" s="5" t="s">
        <v>496</v>
      </c>
      <c r="K57" s="5" t="s">
        <v>497</v>
      </c>
      <c r="L57" s="1" t="s">
        <v>498</v>
      </c>
      <c r="M57" s="1" t="s">
        <v>499</v>
      </c>
      <c r="N57" s="1" t="s">
        <v>500</v>
      </c>
      <c r="O57" s="1" t="s">
        <v>28</v>
      </c>
      <c r="P57" s="1"/>
      <c r="Q57" s="1" t="s">
        <v>501</v>
      </c>
    </row>
    <row r="58" spans="1:17" ht="71.25">
      <c r="A58" s="5" t="s">
        <v>502</v>
      </c>
      <c r="B58" s="5" t="s">
        <v>351</v>
      </c>
      <c r="C58" s="5" t="s">
        <v>203</v>
      </c>
      <c r="D58" s="5" t="s">
        <v>503</v>
      </c>
      <c r="E58" s="5" t="s">
        <v>504</v>
      </c>
      <c r="F58" s="5">
        <v>4</v>
      </c>
      <c r="G58" s="5" t="s">
        <v>206</v>
      </c>
      <c r="H58" s="5" t="s">
        <v>505</v>
      </c>
      <c r="I58" s="5" t="s">
        <v>492</v>
      </c>
      <c r="J58" s="5" t="s">
        <v>506</v>
      </c>
      <c r="K58" s="5" t="s">
        <v>507</v>
      </c>
      <c r="L58" s="1"/>
      <c r="M58" s="1" t="s">
        <v>508</v>
      </c>
      <c r="N58" s="1" t="s">
        <v>509</v>
      </c>
      <c r="O58" s="1" t="s">
        <v>28</v>
      </c>
      <c r="P58" s="1"/>
      <c r="Q58" s="1" t="s">
        <v>510</v>
      </c>
    </row>
    <row r="59" spans="1:17" ht="28.5">
      <c r="A59" s="5" t="s">
        <v>511</v>
      </c>
      <c r="B59" s="5" t="s">
        <v>512</v>
      </c>
      <c r="C59" s="5" t="s">
        <v>19</v>
      </c>
      <c r="D59" s="5" t="s">
        <v>513</v>
      </c>
      <c r="E59" s="5" t="s">
        <v>514</v>
      </c>
      <c r="F59" s="5">
        <v>0</v>
      </c>
      <c r="G59" s="5" t="s">
        <v>22</v>
      </c>
      <c r="H59" s="5" t="s">
        <v>515</v>
      </c>
      <c r="I59" s="1"/>
      <c r="J59" s="5" t="s">
        <v>516</v>
      </c>
      <c r="K59" s="5" t="s">
        <v>517</v>
      </c>
      <c r="L59" s="1"/>
      <c r="M59" s="1" t="s">
        <v>518</v>
      </c>
      <c r="N59" s="1" t="s">
        <v>519</v>
      </c>
      <c r="O59" s="1" t="s">
        <v>28</v>
      </c>
      <c r="P59" s="1"/>
      <c r="Q59" s="1" t="s">
        <v>520</v>
      </c>
    </row>
    <row r="60" spans="1:17" ht="28.5">
      <c r="A60" s="5" t="s">
        <v>521</v>
      </c>
      <c r="B60" s="5" t="s">
        <v>512</v>
      </c>
      <c r="C60" s="5" t="s">
        <v>19</v>
      </c>
      <c r="D60" s="5" t="s">
        <v>522</v>
      </c>
      <c r="E60" s="5" t="s">
        <v>523</v>
      </c>
      <c r="F60" s="5">
        <v>0</v>
      </c>
      <c r="G60" s="5" t="s">
        <v>22</v>
      </c>
      <c r="H60" s="5" t="s">
        <v>524</v>
      </c>
      <c r="I60" s="5"/>
      <c r="J60" s="5" t="s">
        <v>525</v>
      </c>
      <c r="K60" s="5" t="s">
        <v>526</v>
      </c>
      <c r="L60" s="1"/>
      <c r="M60" s="1" t="s">
        <v>527</v>
      </c>
      <c r="N60" s="1" t="s">
        <v>519</v>
      </c>
      <c r="O60" s="1" t="s">
        <v>28</v>
      </c>
      <c r="P60" s="1"/>
      <c r="Q60" s="1" t="s">
        <v>520</v>
      </c>
    </row>
    <row r="61" spans="1:17" ht="28.5">
      <c r="A61" s="5" t="s">
        <v>528</v>
      </c>
      <c r="B61" s="5" t="s">
        <v>512</v>
      </c>
      <c r="C61" s="5" t="s">
        <v>19</v>
      </c>
      <c r="D61" s="5" t="s">
        <v>529</v>
      </c>
      <c r="E61" s="5" t="s">
        <v>530</v>
      </c>
      <c r="F61" s="5">
        <v>1</v>
      </c>
      <c r="G61" s="5" t="s">
        <v>54</v>
      </c>
      <c r="H61" s="5" t="s">
        <v>531</v>
      </c>
      <c r="I61" s="1" t="s">
        <v>532</v>
      </c>
      <c r="J61" s="5" t="s">
        <v>533</v>
      </c>
      <c r="K61" s="5" t="s">
        <v>534</v>
      </c>
      <c r="L61" s="1"/>
      <c r="M61" s="1" t="s">
        <v>535</v>
      </c>
      <c r="N61" s="1" t="s">
        <v>519</v>
      </c>
      <c r="O61" s="1" t="s">
        <v>28</v>
      </c>
      <c r="P61" s="1"/>
      <c r="Q61" s="1" t="s">
        <v>520</v>
      </c>
    </row>
    <row r="62" spans="1:17" ht="28.5">
      <c r="A62" s="5" t="s">
        <v>536</v>
      </c>
      <c r="B62" s="5" t="s">
        <v>512</v>
      </c>
      <c r="C62" s="5" t="s">
        <v>67</v>
      </c>
      <c r="D62" s="5" t="s">
        <v>537</v>
      </c>
      <c r="E62" s="5" t="s">
        <v>538</v>
      </c>
      <c r="F62" s="5">
        <v>2</v>
      </c>
      <c r="G62" s="5" t="s">
        <v>125</v>
      </c>
      <c r="H62" s="5" t="s">
        <v>539</v>
      </c>
      <c r="I62" s="5" t="s">
        <v>528</v>
      </c>
      <c r="J62" s="5" t="s">
        <v>540</v>
      </c>
      <c r="K62" s="5" t="s">
        <v>541</v>
      </c>
      <c r="L62" s="1"/>
      <c r="M62" s="1" t="s">
        <v>542</v>
      </c>
      <c r="N62" s="1" t="s">
        <v>519</v>
      </c>
      <c r="O62" s="1" t="s">
        <v>28</v>
      </c>
      <c r="P62" s="1"/>
      <c r="Q62" s="1" t="s">
        <v>520</v>
      </c>
    </row>
    <row r="63" spans="1:17" ht="42.75">
      <c r="A63" s="5" t="s">
        <v>543</v>
      </c>
      <c r="B63" s="5" t="s">
        <v>512</v>
      </c>
      <c r="C63" s="5" t="s">
        <v>122</v>
      </c>
      <c r="D63" s="5" t="s">
        <v>544</v>
      </c>
      <c r="E63" s="5" t="s">
        <v>545</v>
      </c>
      <c r="F63" s="5">
        <v>2</v>
      </c>
      <c r="G63" s="5" t="s">
        <v>125</v>
      </c>
      <c r="H63" s="5" t="s">
        <v>546</v>
      </c>
      <c r="I63" s="1"/>
      <c r="J63" s="5" t="s">
        <v>547</v>
      </c>
      <c r="K63" s="5" t="s">
        <v>548</v>
      </c>
      <c r="L63" s="1" t="s">
        <v>549</v>
      </c>
      <c r="M63" s="1" t="s">
        <v>550</v>
      </c>
      <c r="N63" s="1" t="s">
        <v>551</v>
      </c>
      <c r="O63" s="1" t="s">
        <v>28</v>
      </c>
      <c r="P63" s="1" t="s">
        <v>552</v>
      </c>
      <c r="Q63" s="1" t="s">
        <v>520</v>
      </c>
    </row>
    <row r="64" spans="1:17" ht="28.5">
      <c r="A64" s="5" t="s">
        <v>553</v>
      </c>
      <c r="B64" s="5" t="s">
        <v>552</v>
      </c>
      <c r="C64" s="5" t="s">
        <v>19</v>
      </c>
      <c r="D64" s="5" t="s">
        <v>554</v>
      </c>
      <c r="E64" s="5" t="s">
        <v>555</v>
      </c>
      <c r="F64" s="5">
        <v>1</v>
      </c>
      <c r="G64" s="5" t="s">
        <v>54</v>
      </c>
      <c r="H64" s="5" t="s">
        <v>556</v>
      </c>
      <c r="I64" s="5" t="s">
        <v>511</v>
      </c>
      <c r="J64" s="5" t="s">
        <v>557</v>
      </c>
      <c r="K64" s="5" t="s">
        <v>558</v>
      </c>
      <c r="L64" s="1"/>
      <c r="M64" s="1" t="s">
        <v>559</v>
      </c>
      <c r="N64" s="1" t="s">
        <v>560</v>
      </c>
      <c r="O64" s="1" t="s">
        <v>28</v>
      </c>
      <c r="P64" s="1"/>
      <c r="Q64" s="1" t="s">
        <v>561</v>
      </c>
    </row>
    <row r="65" spans="1:17" ht="28.5">
      <c r="A65" s="5" t="s">
        <v>562</v>
      </c>
      <c r="B65" s="5" t="s">
        <v>552</v>
      </c>
      <c r="C65" s="5" t="s">
        <v>19</v>
      </c>
      <c r="D65" s="5" t="s">
        <v>563</v>
      </c>
      <c r="E65" s="5" t="s">
        <v>564</v>
      </c>
      <c r="F65" s="5">
        <v>1</v>
      </c>
      <c r="G65" s="5" t="s">
        <v>54</v>
      </c>
      <c r="H65" s="5" t="s">
        <v>565</v>
      </c>
      <c r="I65" s="1" t="s">
        <v>528</v>
      </c>
      <c r="J65" s="5" t="s">
        <v>566</v>
      </c>
      <c r="K65" s="5" t="s">
        <v>567</v>
      </c>
      <c r="L65" s="1"/>
      <c r="M65" s="1" t="s">
        <v>568</v>
      </c>
      <c r="N65" s="1" t="s">
        <v>560</v>
      </c>
      <c r="O65" s="1" t="s">
        <v>28</v>
      </c>
      <c r="P65" s="1"/>
      <c r="Q65" s="1" t="s">
        <v>561</v>
      </c>
    </row>
    <row r="66" spans="1:17" ht="28.5">
      <c r="A66" s="5" t="s">
        <v>569</v>
      </c>
      <c r="B66" s="5" t="s">
        <v>552</v>
      </c>
      <c r="C66" s="5" t="s">
        <v>19</v>
      </c>
      <c r="D66" s="5" t="s">
        <v>570</v>
      </c>
      <c r="E66" s="5" t="s">
        <v>571</v>
      </c>
      <c r="F66" s="5">
        <v>1</v>
      </c>
      <c r="G66" s="5" t="s">
        <v>54</v>
      </c>
      <c r="H66" s="5" t="s">
        <v>572</v>
      </c>
      <c r="I66" s="5" t="s">
        <v>528</v>
      </c>
      <c r="J66" s="5" t="s">
        <v>573</v>
      </c>
      <c r="K66" s="5" t="s">
        <v>574</v>
      </c>
      <c r="L66" s="1"/>
      <c r="M66" s="1" t="s">
        <v>575</v>
      </c>
      <c r="N66" s="1" t="s">
        <v>560</v>
      </c>
      <c r="O66" s="1" t="s">
        <v>28</v>
      </c>
      <c r="P66" s="1"/>
      <c r="Q66" s="1" t="s">
        <v>561</v>
      </c>
    </row>
    <row r="67" spans="1:17" ht="28.5">
      <c r="A67" s="5" t="s">
        <v>576</v>
      </c>
      <c r="B67" s="5" t="s">
        <v>552</v>
      </c>
      <c r="C67" s="5" t="s">
        <v>19</v>
      </c>
      <c r="D67" s="5" t="s">
        <v>577</v>
      </c>
      <c r="E67" s="5" t="s">
        <v>578</v>
      </c>
      <c r="F67" s="5">
        <v>2</v>
      </c>
      <c r="G67" s="5" t="s">
        <v>125</v>
      </c>
      <c r="H67" s="5" t="s">
        <v>579</v>
      </c>
      <c r="I67" s="1" t="s">
        <v>528</v>
      </c>
      <c r="J67" s="5" t="s">
        <v>580</v>
      </c>
      <c r="K67" s="5" t="s">
        <v>581</v>
      </c>
      <c r="L67" s="1"/>
      <c r="M67" s="1" t="s">
        <v>582</v>
      </c>
      <c r="N67" s="1" t="s">
        <v>560</v>
      </c>
      <c r="O67" s="1" t="s">
        <v>28</v>
      </c>
      <c r="P67" s="1"/>
      <c r="Q67" s="1" t="s">
        <v>561</v>
      </c>
    </row>
    <row r="68" spans="1:17" ht="28.5">
      <c r="A68" s="5" t="s">
        <v>583</v>
      </c>
      <c r="B68" s="5" t="s">
        <v>552</v>
      </c>
      <c r="C68" s="5" t="s">
        <v>67</v>
      </c>
      <c r="D68" s="5" t="s">
        <v>584</v>
      </c>
      <c r="E68" s="5" t="s">
        <v>585</v>
      </c>
      <c r="F68" s="5">
        <v>2</v>
      </c>
      <c r="G68" s="5" t="s">
        <v>125</v>
      </c>
      <c r="H68" s="5" t="s">
        <v>586</v>
      </c>
      <c r="I68" s="5" t="s">
        <v>587</v>
      </c>
      <c r="J68" s="5" t="s">
        <v>588</v>
      </c>
      <c r="K68" s="5" t="s">
        <v>589</v>
      </c>
      <c r="L68" s="1"/>
      <c r="M68" s="1" t="s">
        <v>590</v>
      </c>
      <c r="N68" s="1" t="s">
        <v>560</v>
      </c>
      <c r="O68" s="1" t="s">
        <v>28</v>
      </c>
      <c r="P68" s="1"/>
      <c r="Q68" s="1" t="s">
        <v>561</v>
      </c>
    </row>
    <row r="69" spans="1:17" ht="28.5">
      <c r="A69" s="5" t="s">
        <v>591</v>
      </c>
      <c r="B69" s="5" t="s">
        <v>552</v>
      </c>
      <c r="C69" s="5" t="s">
        <v>122</v>
      </c>
      <c r="D69" s="5" t="s">
        <v>592</v>
      </c>
      <c r="E69" s="5" t="s">
        <v>593</v>
      </c>
      <c r="F69" s="5">
        <v>2</v>
      </c>
      <c r="G69" s="5" t="s">
        <v>125</v>
      </c>
      <c r="H69" s="5" t="s">
        <v>594</v>
      </c>
      <c r="I69" s="1" t="s">
        <v>511</v>
      </c>
      <c r="J69" s="5" t="s">
        <v>595</v>
      </c>
      <c r="K69" s="5" t="s">
        <v>596</v>
      </c>
      <c r="L69" s="1" t="s">
        <v>597</v>
      </c>
      <c r="M69" s="1" t="s">
        <v>598</v>
      </c>
      <c r="N69" s="1" t="s">
        <v>251</v>
      </c>
      <c r="O69" s="1" t="s">
        <v>28</v>
      </c>
      <c r="P69" s="1" t="s">
        <v>599</v>
      </c>
      <c r="Q69" s="1" t="s">
        <v>561</v>
      </c>
    </row>
    <row r="70" spans="1:17" ht="42.75">
      <c r="A70" s="5" t="s">
        <v>600</v>
      </c>
      <c r="B70" s="5" t="s">
        <v>552</v>
      </c>
      <c r="C70" s="5" t="s">
        <v>122</v>
      </c>
      <c r="D70" s="5" t="s">
        <v>601</v>
      </c>
      <c r="E70" s="5" t="s">
        <v>602</v>
      </c>
      <c r="F70" s="5">
        <v>2</v>
      </c>
      <c r="G70" s="5" t="s">
        <v>125</v>
      </c>
      <c r="H70" s="5" t="s">
        <v>603</v>
      </c>
      <c r="I70" s="5" t="s">
        <v>528</v>
      </c>
      <c r="J70" s="5" t="s">
        <v>604</v>
      </c>
      <c r="K70" s="5" t="s">
        <v>605</v>
      </c>
      <c r="L70" s="1" t="s">
        <v>606</v>
      </c>
      <c r="M70" s="1" t="s">
        <v>607</v>
      </c>
      <c r="N70" s="1" t="s">
        <v>608</v>
      </c>
      <c r="O70" s="1" t="s">
        <v>28</v>
      </c>
      <c r="P70" s="1" t="s">
        <v>609</v>
      </c>
      <c r="Q70" s="1" t="s">
        <v>561</v>
      </c>
    </row>
    <row r="71" spans="1:17" ht="28.5">
      <c r="A71" s="5" t="s">
        <v>610</v>
      </c>
      <c r="B71" s="5" t="s">
        <v>599</v>
      </c>
      <c r="C71" s="5" t="s">
        <v>67</v>
      </c>
      <c r="D71" s="5" t="s">
        <v>611</v>
      </c>
      <c r="E71" s="5" t="s">
        <v>612</v>
      </c>
      <c r="F71" s="5">
        <v>2</v>
      </c>
      <c r="G71" s="5" t="s">
        <v>125</v>
      </c>
      <c r="H71" s="5" t="s">
        <v>613</v>
      </c>
      <c r="I71" s="1" t="s">
        <v>614</v>
      </c>
      <c r="J71" s="5" t="s">
        <v>615</v>
      </c>
      <c r="K71" s="5" t="s">
        <v>616</v>
      </c>
      <c r="L71" s="1"/>
      <c r="M71" s="1" t="s">
        <v>617</v>
      </c>
      <c r="N71" s="1" t="s">
        <v>618</v>
      </c>
      <c r="O71" s="1" t="s">
        <v>28</v>
      </c>
      <c r="P71" s="1"/>
      <c r="Q71" s="1" t="s">
        <v>619</v>
      </c>
    </row>
    <row r="72" spans="1:17" ht="42.75">
      <c r="A72" s="5" t="s">
        <v>620</v>
      </c>
      <c r="B72" s="5" t="s">
        <v>599</v>
      </c>
      <c r="C72" s="5" t="s">
        <v>122</v>
      </c>
      <c r="D72" s="5" t="s">
        <v>621</v>
      </c>
      <c r="E72" s="5" t="s">
        <v>622</v>
      </c>
      <c r="F72" s="5">
        <v>3</v>
      </c>
      <c r="G72" s="5" t="s">
        <v>296</v>
      </c>
      <c r="H72" s="5" t="s">
        <v>623</v>
      </c>
      <c r="I72" s="5" t="s">
        <v>614</v>
      </c>
      <c r="J72" s="5" t="s">
        <v>624</v>
      </c>
      <c r="K72" s="5" t="s">
        <v>625</v>
      </c>
      <c r="L72" s="1" t="s">
        <v>626</v>
      </c>
      <c r="M72" s="1" t="s">
        <v>627</v>
      </c>
      <c r="N72" s="1" t="s">
        <v>628</v>
      </c>
      <c r="O72" s="1" t="s">
        <v>28</v>
      </c>
      <c r="P72" s="1" t="s">
        <v>629</v>
      </c>
      <c r="Q72" s="1" t="s">
        <v>619</v>
      </c>
    </row>
    <row r="73" spans="1:17" ht="42.75">
      <c r="A73" s="5" t="s">
        <v>630</v>
      </c>
      <c r="B73" s="5" t="s">
        <v>599</v>
      </c>
      <c r="C73" s="5" t="s">
        <v>122</v>
      </c>
      <c r="D73" s="5" t="s">
        <v>631</v>
      </c>
      <c r="E73" s="5" t="s">
        <v>632</v>
      </c>
      <c r="F73" s="5">
        <v>3</v>
      </c>
      <c r="G73" s="5" t="s">
        <v>296</v>
      </c>
      <c r="H73" s="5" t="s">
        <v>633</v>
      </c>
      <c r="I73" s="1" t="s">
        <v>528</v>
      </c>
      <c r="J73" s="5" t="s">
        <v>634</v>
      </c>
      <c r="K73" s="5" t="s">
        <v>635</v>
      </c>
      <c r="L73" s="1" t="s">
        <v>636</v>
      </c>
      <c r="M73" s="1" t="s">
        <v>637</v>
      </c>
      <c r="N73" s="1" t="s">
        <v>618</v>
      </c>
      <c r="O73" s="1" t="s">
        <v>28</v>
      </c>
      <c r="P73" s="1"/>
      <c r="Q73" s="1" t="s">
        <v>619</v>
      </c>
    </row>
    <row r="74" spans="1:17" ht="42.75">
      <c r="A74" s="5" t="s">
        <v>638</v>
      </c>
      <c r="B74" s="5" t="s">
        <v>599</v>
      </c>
      <c r="C74" s="5" t="s">
        <v>203</v>
      </c>
      <c r="D74" s="5" t="s">
        <v>639</v>
      </c>
      <c r="E74" s="5" t="s">
        <v>640</v>
      </c>
      <c r="F74" s="5">
        <v>4</v>
      </c>
      <c r="G74" s="5" t="s">
        <v>206</v>
      </c>
      <c r="H74" s="5" t="s">
        <v>641</v>
      </c>
      <c r="I74" s="5" t="s">
        <v>620</v>
      </c>
      <c r="J74" s="5" t="s">
        <v>642</v>
      </c>
      <c r="K74" s="5" t="s">
        <v>643</v>
      </c>
      <c r="L74" s="1"/>
      <c r="M74" s="1" t="s">
        <v>644</v>
      </c>
      <c r="N74" s="1" t="s">
        <v>618</v>
      </c>
      <c r="O74" s="1" t="s">
        <v>28</v>
      </c>
      <c r="P74" s="1"/>
      <c r="Q74" s="1" t="s">
        <v>619</v>
      </c>
    </row>
    <row r="75" spans="1:17">
      <c r="A75" s="1" t="s">
        <v>645</v>
      </c>
      <c r="B75" s="1" t="s">
        <v>629</v>
      </c>
      <c r="C75" s="1" t="s">
        <v>19</v>
      </c>
      <c r="D75" s="1" t="s">
        <v>646</v>
      </c>
      <c r="E75" s="1" t="s">
        <v>647</v>
      </c>
      <c r="F75" s="1">
        <v>1</v>
      </c>
      <c r="G75" s="1" t="s">
        <v>54</v>
      </c>
      <c r="H75" s="1" t="s">
        <v>648</v>
      </c>
      <c r="I75" s="1" t="s">
        <v>528</v>
      </c>
      <c r="J75" s="1" t="s">
        <v>649</v>
      </c>
      <c r="K75" s="1" t="s">
        <v>650</v>
      </c>
      <c r="L75" s="1"/>
      <c r="M75" s="1" t="s">
        <v>651</v>
      </c>
      <c r="N75" s="1" t="s">
        <v>652</v>
      </c>
      <c r="O75" s="1" t="s">
        <v>28</v>
      </c>
      <c r="P75" s="1"/>
      <c r="Q75" s="1" t="s">
        <v>653</v>
      </c>
    </row>
    <row r="76" spans="1:17" ht="42.75">
      <c r="A76" s="5" t="s">
        <v>654</v>
      </c>
      <c r="B76" s="5" t="s">
        <v>629</v>
      </c>
      <c r="C76" s="5" t="s">
        <v>67</v>
      </c>
      <c r="D76" s="5" t="s">
        <v>655</v>
      </c>
      <c r="E76" s="5" t="s">
        <v>656</v>
      </c>
      <c r="F76" s="5">
        <v>2</v>
      </c>
      <c r="G76" s="5" t="s">
        <v>125</v>
      </c>
      <c r="H76" s="5" t="s">
        <v>657</v>
      </c>
      <c r="I76" s="5" t="s">
        <v>587</v>
      </c>
      <c r="J76" s="5" t="s">
        <v>658</v>
      </c>
      <c r="K76" s="5" t="s">
        <v>659</v>
      </c>
      <c r="L76" s="1"/>
      <c r="M76" s="1" t="s">
        <v>660</v>
      </c>
      <c r="N76" s="1" t="s">
        <v>652</v>
      </c>
      <c r="O76" s="1" t="s">
        <v>28</v>
      </c>
      <c r="P76" s="1"/>
      <c r="Q76" s="1" t="s">
        <v>653</v>
      </c>
    </row>
    <row r="77" spans="1:17" ht="42.75">
      <c r="A77" s="5" t="s">
        <v>661</v>
      </c>
      <c r="B77" s="5" t="s">
        <v>629</v>
      </c>
      <c r="C77" s="5" t="s">
        <v>122</v>
      </c>
      <c r="D77" s="5" t="s">
        <v>662</v>
      </c>
      <c r="E77" s="5" t="s">
        <v>663</v>
      </c>
      <c r="F77" s="5">
        <v>3</v>
      </c>
      <c r="G77" s="5" t="s">
        <v>296</v>
      </c>
      <c r="H77" s="5" t="s">
        <v>664</v>
      </c>
      <c r="I77" s="1" t="s">
        <v>528</v>
      </c>
      <c r="J77" s="5" t="s">
        <v>665</v>
      </c>
      <c r="K77" s="5" t="s">
        <v>666</v>
      </c>
      <c r="L77" s="1" t="s">
        <v>667</v>
      </c>
      <c r="M77" s="1" t="s">
        <v>668</v>
      </c>
      <c r="N77" s="1" t="s">
        <v>669</v>
      </c>
      <c r="O77" s="1" t="s">
        <v>28</v>
      </c>
      <c r="P77" s="1" t="s">
        <v>670</v>
      </c>
      <c r="Q77" s="1" t="s">
        <v>653</v>
      </c>
    </row>
    <row r="78" spans="1:17" ht="42.75">
      <c r="A78" s="5" t="s">
        <v>671</v>
      </c>
      <c r="B78" s="5" t="s">
        <v>629</v>
      </c>
      <c r="C78" s="5" t="s">
        <v>122</v>
      </c>
      <c r="D78" s="5" t="s">
        <v>672</v>
      </c>
      <c r="E78" s="5" t="s">
        <v>673</v>
      </c>
      <c r="F78" s="5">
        <v>3</v>
      </c>
      <c r="G78" s="5" t="s">
        <v>296</v>
      </c>
      <c r="H78" s="5" t="s">
        <v>674</v>
      </c>
      <c r="I78" s="5" t="s">
        <v>620</v>
      </c>
      <c r="J78" s="5" t="s">
        <v>675</v>
      </c>
      <c r="K78" s="5" t="s">
        <v>676</v>
      </c>
      <c r="L78" s="1" t="s">
        <v>677</v>
      </c>
      <c r="M78" s="1" t="s">
        <v>678</v>
      </c>
      <c r="N78" s="1" t="s">
        <v>652</v>
      </c>
      <c r="O78" s="1" t="s">
        <v>28</v>
      </c>
      <c r="P78" s="1"/>
      <c r="Q78" s="1" t="s">
        <v>653</v>
      </c>
    </row>
    <row r="79" spans="1:17" ht="42.75">
      <c r="A79" s="5" t="s">
        <v>679</v>
      </c>
      <c r="B79" s="5" t="s">
        <v>629</v>
      </c>
      <c r="C79" s="5" t="s">
        <v>203</v>
      </c>
      <c r="D79" s="5" t="s">
        <v>680</v>
      </c>
      <c r="E79" s="5" t="s">
        <v>681</v>
      </c>
      <c r="F79" s="5">
        <v>4</v>
      </c>
      <c r="G79" s="5" t="s">
        <v>206</v>
      </c>
      <c r="H79" s="5" t="s">
        <v>682</v>
      </c>
      <c r="I79" s="1" t="s">
        <v>683</v>
      </c>
      <c r="J79" s="5" t="s">
        <v>684</v>
      </c>
      <c r="K79" s="5" t="s">
        <v>685</v>
      </c>
      <c r="L79" s="1"/>
      <c r="M79" s="1" t="s">
        <v>686</v>
      </c>
      <c r="N79" s="1" t="s">
        <v>652</v>
      </c>
      <c r="O79" s="1" t="s">
        <v>28</v>
      </c>
      <c r="P79" s="1"/>
      <c r="Q79" s="1" t="s">
        <v>653</v>
      </c>
    </row>
    <row r="80" spans="1:17" ht="28.5">
      <c r="A80" s="5" t="s">
        <v>687</v>
      </c>
      <c r="B80" s="5" t="s">
        <v>670</v>
      </c>
      <c r="C80" s="5" t="s">
        <v>19</v>
      </c>
      <c r="D80" s="5" t="s">
        <v>688</v>
      </c>
      <c r="E80" s="5" t="s">
        <v>689</v>
      </c>
      <c r="F80" s="5">
        <v>2</v>
      </c>
      <c r="G80" s="5" t="s">
        <v>125</v>
      </c>
      <c r="H80" s="5" t="s">
        <v>690</v>
      </c>
      <c r="I80" s="5" t="s">
        <v>528</v>
      </c>
      <c r="J80" s="5" t="s">
        <v>691</v>
      </c>
      <c r="K80" s="5" t="s">
        <v>692</v>
      </c>
      <c r="L80" s="1"/>
      <c r="M80" s="1" t="s">
        <v>693</v>
      </c>
      <c r="N80" s="1" t="s">
        <v>694</v>
      </c>
      <c r="O80" s="1" t="s">
        <v>28</v>
      </c>
      <c r="P80" s="1"/>
      <c r="Q80" s="1" t="s">
        <v>695</v>
      </c>
    </row>
    <row r="81" spans="1:17" ht="28.5">
      <c r="A81" s="5" t="s">
        <v>696</v>
      </c>
      <c r="B81" s="5" t="s">
        <v>670</v>
      </c>
      <c r="C81" s="5" t="s">
        <v>19</v>
      </c>
      <c r="D81" s="5" t="s">
        <v>697</v>
      </c>
      <c r="E81" s="5" t="s">
        <v>698</v>
      </c>
      <c r="F81" s="5">
        <v>2</v>
      </c>
      <c r="G81" s="5" t="s">
        <v>125</v>
      </c>
      <c r="H81" s="5" t="s">
        <v>699</v>
      </c>
      <c r="I81" s="1" t="s">
        <v>528</v>
      </c>
      <c r="J81" s="5" t="s">
        <v>700</v>
      </c>
      <c r="K81" s="5" t="s">
        <v>701</v>
      </c>
      <c r="L81" s="1"/>
      <c r="M81" s="1" t="s">
        <v>702</v>
      </c>
      <c r="N81" s="1" t="s">
        <v>694</v>
      </c>
      <c r="O81" s="1" t="s">
        <v>28</v>
      </c>
      <c r="P81" s="1"/>
      <c r="Q81" s="1" t="s">
        <v>695</v>
      </c>
    </row>
    <row r="82" spans="1:17" ht="28.5">
      <c r="A82" s="5" t="s">
        <v>703</v>
      </c>
      <c r="B82" s="5" t="s">
        <v>670</v>
      </c>
      <c r="C82" s="5" t="s">
        <v>67</v>
      </c>
      <c r="D82" s="5" t="s">
        <v>704</v>
      </c>
      <c r="E82" s="5" t="s">
        <v>705</v>
      </c>
      <c r="F82" s="5">
        <v>2</v>
      </c>
      <c r="G82" s="5" t="s">
        <v>125</v>
      </c>
      <c r="H82" s="5" t="s">
        <v>706</v>
      </c>
      <c r="I82" s="5" t="s">
        <v>696</v>
      </c>
      <c r="J82" s="5" t="s">
        <v>707</v>
      </c>
      <c r="K82" s="5" t="s">
        <v>708</v>
      </c>
      <c r="L82" s="1"/>
      <c r="M82" s="1" t="s">
        <v>709</v>
      </c>
      <c r="N82" s="1" t="s">
        <v>694</v>
      </c>
      <c r="O82" s="1" t="s">
        <v>28</v>
      </c>
      <c r="P82" s="1"/>
      <c r="Q82" s="1" t="s">
        <v>695</v>
      </c>
    </row>
    <row r="83" spans="1:17" ht="28.5">
      <c r="A83" s="5" t="s">
        <v>710</v>
      </c>
      <c r="B83" s="5" t="s">
        <v>670</v>
      </c>
      <c r="C83" s="5" t="s">
        <v>122</v>
      </c>
      <c r="D83" s="5" t="s">
        <v>711</v>
      </c>
      <c r="E83" s="5" t="s">
        <v>712</v>
      </c>
      <c r="F83" s="5">
        <v>3</v>
      </c>
      <c r="G83" s="5" t="s">
        <v>296</v>
      </c>
      <c r="H83" s="5" t="s">
        <v>713</v>
      </c>
      <c r="I83" s="1" t="s">
        <v>703</v>
      </c>
      <c r="J83" s="5" t="s">
        <v>714</v>
      </c>
      <c r="K83" s="5" t="s">
        <v>715</v>
      </c>
      <c r="L83" s="1" t="s">
        <v>716</v>
      </c>
      <c r="M83" s="1" t="s">
        <v>717</v>
      </c>
      <c r="N83" s="1" t="s">
        <v>718</v>
      </c>
      <c r="O83" s="1" t="s">
        <v>28</v>
      </c>
      <c r="P83" s="1" t="s">
        <v>719</v>
      </c>
      <c r="Q83" s="1" t="s">
        <v>695</v>
      </c>
    </row>
    <row r="84" spans="1:17" ht="28.5">
      <c r="A84" s="5" t="s">
        <v>720</v>
      </c>
      <c r="B84" s="5" t="s">
        <v>670</v>
      </c>
      <c r="C84" s="5" t="s">
        <v>122</v>
      </c>
      <c r="D84" s="5" t="s">
        <v>721</v>
      </c>
      <c r="E84" s="5" t="s">
        <v>722</v>
      </c>
      <c r="F84" s="5">
        <v>3</v>
      </c>
      <c r="G84" s="5" t="s">
        <v>296</v>
      </c>
      <c r="H84" s="5" t="s">
        <v>723</v>
      </c>
      <c r="I84" s="5" t="s">
        <v>703</v>
      </c>
      <c r="J84" s="5" t="s">
        <v>724</v>
      </c>
      <c r="K84" s="5" t="s">
        <v>725</v>
      </c>
      <c r="L84" s="1" t="s">
        <v>726</v>
      </c>
      <c r="M84" s="1" t="s">
        <v>727</v>
      </c>
      <c r="N84" s="1" t="s">
        <v>728</v>
      </c>
      <c r="O84" s="1" t="s">
        <v>28</v>
      </c>
      <c r="P84" s="1" t="s">
        <v>729</v>
      </c>
      <c r="Q84" s="1" t="s">
        <v>695</v>
      </c>
    </row>
    <row r="85" spans="1:17" ht="28.5">
      <c r="A85" s="5" t="s">
        <v>730</v>
      </c>
      <c r="B85" s="5" t="s">
        <v>670</v>
      </c>
      <c r="C85" s="5" t="s">
        <v>203</v>
      </c>
      <c r="D85" s="5" t="s">
        <v>731</v>
      </c>
      <c r="E85" s="5" t="s">
        <v>732</v>
      </c>
      <c r="F85" s="5">
        <v>4</v>
      </c>
      <c r="G85" s="5" t="s">
        <v>206</v>
      </c>
      <c r="H85" s="5" t="s">
        <v>733</v>
      </c>
      <c r="I85" s="1" t="s">
        <v>734</v>
      </c>
      <c r="J85" s="5" t="s">
        <v>735</v>
      </c>
      <c r="K85" s="5" t="s">
        <v>736</v>
      </c>
      <c r="L85" s="1"/>
      <c r="M85" s="1" t="s">
        <v>737</v>
      </c>
      <c r="N85" s="1" t="s">
        <v>694</v>
      </c>
      <c r="O85" s="1" t="s">
        <v>28</v>
      </c>
      <c r="P85" s="1"/>
      <c r="Q85" s="1" t="s">
        <v>695</v>
      </c>
    </row>
    <row r="86" spans="1:17" ht="28.5">
      <c r="A86" s="5" t="s">
        <v>738</v>
      </c>
      <c r="B86" s="5" t="s">
        <v>609</v>
      </c>
      <c r="C86" s="5" t="s">
        <v>19</v>
      </c>
      <c r="D86" s="5" t="s">
        <v>739</v>
      </c>
      <c r="E86" s="5" t="s">
        <v>740</v>
      </c>
      <c r="F86" s="5">
        <v>2</v>
      </c>
      <c r="G86" s="5" t="s">
        <v>125</v>
      </c>
      <c r="H86" s="5" t="s">
        <v>741</v>
      </c>
      <c r="I86" s="5" t="s">
        <v>528</v>
      </c>
      <c r="J86" s="5" t="s">
        <v>742</v>
      </c>
      <c r="K86" s="5" t="s">
        <v>743</v>
      </c>
      <c r="L86" s="1"/>
      <c r="M86" s="1" t="s">
        <v>744</v>
      </c>
      <c r="N86" s="1" t="s">
        <v>745</v>
      </c>
      <c r="O86" s="1" t="s">
        <v>28</v>
      </c>
      <c r="P86" s="1"/>
      <c r="Q86" s="1" t="s">
        <v>746</v>
      </c>
    </row>
    <row r="87" spans="1:17" ht="42.75">
      <c r="A87" s="5" t="s">
        <v>747</v>
      </c>
      <c r="B87" s="5" t="s">
        <v>609</v>
      </c>
      <c r="C87" s="5" t="s">
        <v>67</v>
      </c>
      <c r="D87" s="5" t="s">
        <v>748</v>
      </c>
      <c r="E87" s="5" t="s">
        <v>749</v>
      </c>
      <c r="F87" s="5">
        <v>3</v>
      </c>
      <c r="G87" s="5" t="s">
        <v>296</v>
      </c>
      <c r="H87" s="5" t="s">
        <v>750</v>
      </c>
      <c r="I87" s="1" t="s">
        <v>703</v>
      </c>
      <c r="J87" s="5" t="s">
        <v>751</v>
      </c>
      <c r="K87" s="5" t="s">
        <v>752</v>
      </c>
      <c r="L87" s="1"/>
      <c r="M87" s="1" t="s">
        <v>753</v>
      </c>
      <c r="N87" s="1" t="s">
        <v>745</v>
      </c>
      <c r="O87" s="1" t="s">
        <v>28</v>
      </c>
      <c r="P87" s="1"/>
      <c r="Q87" s="1" t="s">
        <v>746</v>
      </c>
    </row>
    <row r="88" spans="1:17" ht="42.75">
      <c r="A88" s="5" t="s">
        <v>754</v>
      </c>
      <c r="B88" s="5" t="s">
        <v>609</v>
      </c>
      <c r="C88" s="5" t="s">
        <v>122</v>
      </c>
      <c r="D88" s="5" t="s">
        <v>755</v>
      </c>
      <c r="E88" s="5" t="s">
        <v>756</v>
      </c>
      <c r="F88" s="5">
        <v>3</v>
      </c>
      <c r="G88" s="5" t="s">
        <v>296</v>
      </c>
      <c r="H88" s="5" t="s">
        <v>757</v>
      </c>
      <c r="I88" s="5" t="s">
        <v>738</v>
      </c>
      <c r="J88" s="5" t="s">
        <v>758</v>
      </c>
      <c r="K88" s="5" t="s">
        <v>759</v>
      </c>
      <c r="L88" s="1" t="s">
        <v>760</v>
      </c>
      <c r="M88" s="1" t="s">
        <v>761</v>
      </c>
      <c r="N88" s="1" t="s">
        <v>762</v>
      </c>
      <c r="O88" s="1" t="s">
        <v>28</v>
      </c>
      <c r="P88" s="1" t="s">
        <v>763</v>
      </c>
      <c r="Q88" s="1" t="s">
        <v>746</v>
      </c>
    </row>
    <row r="89" spans="1:17" ht="42.75">
      <c r="A89" s="5" t="s">
        <v>764</v>
      </c>
      <c r="B89" s="5" t="s">
        <v>609</v>
      </c>
      <c r="C89" s="5" t="s">
        <v>122</v>
      </c>
      <c r="D89" s="5" t="s">
        <v>765</v>
      </c>
      <c r="E89" s="5" t="s">
        <v>766</v>
      </c>
      <c r="F89" s="5">
        <v>3</v>
      </c>
      <c r="G89" s="5" t="s">
        <v>296</v>
      </c>
      <c r="H89" s="5" t="s">
        <v>767</v>
      </c>
      <c r="I89" s="1" t="s">
        <v>754</v>
      </c>
      <c r="J89" s="5" t="s">
        <v>768</v>
      </c>
      <c r="K89" s="5" t="s">
        <v>769</v>
      </c>
      <c r="L89" s="1" t="s">
        <v>770</v>
      </c>
      <c r="M89" s="1" t="s">
        <v>771</v>
      </c>
      <c r="N89" s="1" t="s">
        <v>772</v>
      </c>
      <c r="O89" s="1" t="s">
        <v>28</v>
      </c>
      <c r="P89" s="1" t="s">
        <v>773</v>
      </c>
      <c r="Q89" s="1" t="s">
        <v>746</v>
      </c>
    </row>
    <row r="90" spans="1:17" ht="57">
      <c r="A90" s="5" t="s">
        <v>774</v>
      </c>
      <c r="B90" s="5" t="s">
        <v>609</v>
      </c>
      <c r="C90" s="5" t="s">
        <v>122</v>
      </c>
      <c r="D90" s="5" t="s">
        <v>775</v>
      </c>
      <c r="E90" s="5" t="s">
        <v>776</v>
      </c>
      <c r="F90" s="5">
        <v>4</v>
      </c>
      <c r="G90" s="5" t="s">
        <v>206</v>
      </c>
      <c r="H90" s="5" t="s">
        <v>777</v>
      </c>
      <c r="I90" s="5" t="s">
        <v>764</v>
      </c>
      <c r="J90" s="5" t="s">
        <v>778</v>
      </c>
      <c r="K90" s="5" t="s">
        <v>779</v>
      </c>
      <c r="L90" s="1" t="s">
        <v>780</v>
      </c>
      <c r="M90" s="1" t="s">
        <v>781</v>
      </c>
      <c r="N90" s="1" t="s">
        <v>782</v>
      </c>
      <c r="O90" s="1" t="s">
        <v>28</v>
      </c>
      <c r="P90" s="1" t="s">
        <v>783</v>
      </c>
      <c r="Q90" s="1" t="s">
        <v>746</v>
      </c>
    </row>
    <row r="91" spans="1:17" ht="42.75">
      <c r="A91" s="5" t="s">
        <v>784</v>
      </c>
      <c r="B91" s="5" t="s">
        <v>609</v>
      </c>
      <c r="C91" s="5" t="s">
        <v>203</v>
      </c>
      <c r="D91" s="5" t="s">
        <v>785</v>
      </c>
      <c r="E91" s="5" t="s">
        <v>786</v>
      </c>
      <c r="F91" s="5">
        <v>4</v>
      </c>
      <c r="G91" s="5" t="s">
        <v>206</v>
      </c>
      <c r="H91" s="5" t="s">
        <v>787</v>
      </c>
      <c r="I91" s="1" t="s">
        <v>788</v>
      </c>
      <c r="J91" s="5" t="s">
        <v>789</v>
      </c>
      <c r="K91" s="5" t="s">
        <v>790</v>
      </c>
      <c r="L91" s="1"/>
      <c r="M91" s="1" t="s">
        <v>791</v>
      </c>
      <c r="N91" s="1" t="s">
        <v>745</v>
      </c>
      <c r="O91" s="1" t="s">
        <v>28</v>
      </c>
      <c r="P91" s="1"/>
      <c r="Q91" s="1" t="s">
        <v>746</v>
      </c>
    </row>
    <row r="92" spans="1:17" ht="42.75">
      <c r="A92" s="5" t="s">
        <v>792</v>
      </c>
      <c r="B92" s="5" t="s">
        <v>719</v>
      </c>
      <c r="C92" s="5" t="s">
        <v>67</v>
      </c>
      <c r="D92" s="5" t="s">
        <v>793</v>
      </c>
      <c r="E92" s="5" t="s">
        <v>794</v>
      </c>
      <c r="F92" s="5">
        <v>3</v>
      </c>
      <c r="G92" s="5" t="s">
        <v>296</v>
      </c>
      <c r="H92" s="5" t="s">
        <v>795</v>
      </c>
      <c r="I92" s="5" t="s">
        <v>738</v>
      </c>
      <c r="J92" s="5" t="s">
        <v>796</v>
      </c>
      <c r="K92" s="5" t="s">
        <v>797</v>
      </c>
      <c r="L92" s="1"/>
      <c r="M92" s="1" t="s">
        <v>798</v>
      </c>
      <c r="N92" s="1" t="s">
        <v>799</v>
      </c>
      <c r="O92" s="1" t="s">
        <v>28</v>
      </c>
      <c r="P92" s="1"/>
      <c r="Q92" s="1" t="s">
        <v>800</v>
      </c>
    </row>
    <row r="93" spans="1:17" ht="42.75">
      <c r="A93" s="5" t="s">
        <v>801</v>
      </c>
      <c r="B93" s="5" t="s">
        <v>719</v>
      </c>
      <c r="C93" s="5" t="s">
        <v>122</v>
      </c>
      <c r="D93" s="5" t="s">
        <v>802</v>
      </c>
      <c r="E93" s="5" t="s">
        <v>803</v>
      </c>
      <c r="F93" s="5">
        <v>4</v>
      </c>
      <c r="G93" s="5" t="s">
        <v>206</v>
      </c>
      <c r="H93" s="5" t="s">
        <v>804</v>
      </c>
      <c r="I93" s="1" t="s">
        <v>754</v>
      </c>
      <c r="J93" s="5" t="s">
        <v>805</v>
      </c>
      <c r="K93" s="5" t="s">
        <v>806</v>
      </c>
      <c r="L93" s="1" t="s">
        <v>807</v>
      </c>
      <c r="M93" s="1" t="s">
        <v>808</v>
      </c>
      <c r="N93" s="1" t="s">
        <v>799</v>
      </c>
      <c r="O93" s="1" t="s">
        <v>28</v>
      </c>
      <c r="P93" s="1"/>
      <c r="Q93" s="1" t="s">
        <v>800</v>
      </c>
    </row>
    <row r="94" spans="1:17" ht="28.5">
      <c r="A94" s="5" t="s">
        <v>809</v>
      </c>
      <c r="B94" s="5" t="s">
        <v>719</v>
      </c>
      <c r="C94" s="5" t="s">
        <v>122</v>
      </c>
      <c r="D94" s="5" t="s">
        <v>810</v>
      </c>
      <c r="E94" s="5" t="s">
        <v>811</v>
      </c>
      <c r="F94" s="5">
        <v>4</v>
      </c>
      <c r="G94" s="5" t="s">
        <v>206</v>
      </c>
      <c r="H94" s="5" t="s">
        <v>812</v>
      </c>
      <c r="I94" s="5" t="s">
        <v>703</v>
      </c>
      <c r="J94" s="5" t="s">
        <v>813</v>
      </c>
      <c r="K94" s="5" t="s">
        <v>814</v>
      </c>
      <c r="L94" s="1" t="s">
        <v>815</v>
      </c>
      <c r="M94" s="1" t="s">
        <v>816</v>
      </c>
      <c r="N94" s="1" t="s">
        <v>817</v>
      </c>
      <c r="O94" s="1" t="s">
        <v>28</v>
      </c>
      <c r="P94" s="1" t="s">
        <v>818</v>
      </c>
      <c r="Q94" s="1" t="s">
        <v>800</v>
      </c>
    </row>
    <row r="95" spans="1:17" ht="57">
      <c r="A95" s="5" t="s">
        <v>819</v>
      </c>
      <c r="B95" s="5" t="s">
        <v>719</v>
      </c>
      <c r="C95" s="5" t="s">
        <v>203</v>
      </c>
      <c r="D95" s="5" t="s">
        <v>820</v>
      </c>
      <c r="E95" s="5" t="s">
        <v>821</v>
      </c>
      <c r="F95" s="5">
        <v>5</v>
      </c>
      <c r="G95" s="5" t="s">
        <v>822</v>
      </c>
      <c r="H95" s="5" t="s">
        <v>823</v>
      </c>
      <c r="I95" s="1" t="s">
        <v>764</v>
      </c>
      <c r="J95" s="5" t="s">
        <v>824</v>
      </c>
      <c r="K95" s="5" t="s">
        <v>825</v>
      </c>
      <c r="L95" s="1"/>
      <c r="M95" s="1" t="s">
        <v>826</v>
      </c>
      <c r="N95" s="1" t="s">
        <v>799</v>
      </c>
      <c r="O95" s="1" t="s">
        <v>28</v>
      </c>
      <c r="P95" s="1"/>
      <c r="Q95" s="1" t="s">
        <v>800</v>
      </c>
    </row>
    <row r="96" spans="1:17" ht="42.75">
      <c r="A96" s="5" t="s">
        <v>827</v>
      </c>
      <c r="B96" s="5" t="s">
        <v>719</v>
      </c>
      <c r="C96" s="5" t="s">
        <v>203</v>
      </c>
      <c r="D96" s="5" t="s">
        <v>828</v>
      </c>
      <c r="E96" s="5" t="s">
        <v>829</v>
      </c>
      <c r="F96" s="5">
        <v>5</v>
      </c>
      <c r="G96" s="5" t="s">
        <v>822</v>
      </c>
      <c r="H96" s="5" t="s">
        <v>830</v>
      </c>
      <c r="I96" s="5" t="s">
        <v>819</v>
      </c>
      <c r="J96" s="5" t="s">
        <v>831</v>
      </c>
      <c r="K96" s="5" t="s">
        <v>832</v>
      </c>
      <c r="L96" s="1"/>
      <c r="M96" s="1" t="s">
        <v>833</v>
      </c>
      <c r="N96" s="1" t="s">
        <v>799</v>
      </c>
      <c r="O96" s="1" t="s">
        <v>28</v>
      </c>
      <c r="P96" s="1"/>
      <c r="Q96" s="1" t="s">
        <v>800</v>
      </c>
    </row>
    <row r="97" spans="1:17" ht="71.25">
      <c r="A97" s="5" t="s">
        <v>834</v>
      </c>
      <c r="B97" s="5" t="s">
        <v>835</v>
      </c>
      <c r="C97" s="5" t="s">
        <v>19</v>
      </c>
      <c r="D97" s="5" t="s">
        <v>836</v>
      </c>
      <c r="E97" s="5" t="s">
        <v>837</v>
      </c>
      <c r="F97" s="5">
        <v>2</v>
      </c>
      <c r="G97" s="5" t="s">
        <v>125</v>
      </c>
      <c r="H97" s="5" t="s">
        <v>838</v>
      </c>
      <c r="I97" s="1" t="s">
        <v>381</v>
      </c>
      <c r="J97" s="5" t="s">
        <v>839</v>
      </c>
      <c r="K97" s="5" t="s">
        <v>840</v>
      </c>
      <c r="L97" s="1"/>
      <c r="M97" s="1" t="s">
        <v>841</v>
      </c>
      <c r="N97" s="1" t="s">
        <v>842</v>
      </c>
      <c r="O97" s="1" t="s">
        <v>28</v>
      </c>
      <c r="P97" s="1"/>
      <c r="Q97" s="1" t="s">
        <v>843</v>
      </c>
    </row>
    <row r="98" spans="1:17" ht="28.5">
      <c r="A98" s="5" t="s">
        <v>844</v>
      </c>
      <c r="B98" s="5" t="s">
        <v>835</v>
      </c>
      <c r="C98" s="5" t="s">
        <v>122</v>
      </c>
      <c r="D98" s="5" t="s">
        <v>845</v>
      </c>
      <c r="E98" s="5" t="s">
        <v>846</v>
      </c>
      <c r="F98" s="5">
        <v>3</v>
      </c>
      <c r="G98" s="5" t="s">
        <v>296</v>
      </c>
      <c r="H98" s="5" t="s">
        <v>847</v>
      </c>
      <c r="I98" s="5" t="s">
        <v>848</v>
      </c>
      <c r="J98" s="5" t="s">
        <v>849</v>
      </c>
      <c r="K98" s="5" t="s">
        <v>850</v>
      </c>
      <c r="L98" s="1" t="s">
        <v>851</v>
      </c>
      <c r="M98" s="1" t="s">
        <v>852</v>
      </c>
      <c r="N98" s="1" t="s">
        <v>853</v>
      </c>
      <c r="O98" s="1" t="s">
        <v>28</v>
      </c>
      <c r="P98" s="1" t="s">
        <v>854</v>
      </c>
      <c r="Q98" s="1" t="s">
        <v>855</v>
      </c>
    </row>
    <row r="99" spans="1:17" ht="28.5">
      <c r="A99" s="5" t="s">
        <v>856</v>
      </c>
      <c r="B99" s="5" t="s">
        <v>835</v>
      </c>
      <c r="C99" s="5" t="s">
        <v>122</v>
      </c>
      <c r="D99" s="5" t="s">
        <v>857</v>
      </c>
      <c r="E99" s="5" t="s">
        <v>858</v>
      </c>
      <c r="F99" s="5">
        <v>3</v>
      </c>
      <c r="G99" s="5" t="s">
        <v>296</v>
      </c>
      <c r="H99" s="5" t="s">
        <v>859</v>
      </c>
      <c r="I99" s="1" t="s">
        <v>860</v>
      </c>
      <c r="J99" s="5" t="s">
        <v>861</v>
      </c>
      <c r="K99" s="5" t="s">
        <v>862</v>
      </c>
      <c r="L99" s="1" t="s">
        <v>863</v>
      </c>
      <c r="M99" s="1" t="s">
        <v>864</v>
      </c>
      <c r="N99" s="1" t="s">
        <v>865</v>
      </c>
      <c r="O99" s="1" t="s">
        <v>28</v>
      </c>
      <c r="P99" s="1"/>
      <c r="Q99" s="1" t="s">
        <v>855</v>
      </c>
    </row>
    <row r="100" spans="1:17" ht="28.5">
      <c r="A100" s="5" t="s">
        <v>866</v>
      </c>
      <c r="B100" s="5" t="s">
        <v>835</v>
      </c>
      <c r="C100" s="5" t="s">
        <v>122</v>
      </c>
      <c r="D100" s="5" t="s">
        <v>867</v>
      </c>
      <c r="E100" s="5" t="s">
        <v>868</v>
      </c>
      <c r="F100" s="5">
        <v>4</v>
      </c>
      <c r="G100" s="5" t="s">
        <v>206</v>
      </c>
      <c r="H100" s="5" t="s">
        <v>869</v>
      </c>
      <c r="I100" s="5" t="s">
        <v>870</v>
      </c>
      <c r="J100" s="5" t="s">
        <v>871</v>
      </c>
      <c r="K100" s="5" t="s">
        <v>872</v>
      </c>
      <c r="L100" s="1" t="s">
        <v>873</v>
      </c>
      <c r="M100" s="1" t="s">
        <v>874</v>
      </c>
      <c r="N100" s="1" t="s">
        <v>865</v>
      </c>
      <c r="O100" s="1" t="s">
        <v>28</v>
      </c>
      <c r="P100" s="1"/>
      <c r="Q100" s="1" t="s">
        <v>855</v>
      </c>
    </row>
    <row r="101" spans="1:17" ht="42.75">
      <c r="A101" s="5" t="s">
        <v>875</v>
      </c>
      <c r="B101" s="5" t="s">
        <v>835</v>
      </c>
      <c r="C101" s="5" t="s">
        <v>122</v>
      </c>
      <c r="D101" s="5" t="s">
        <v>876</v>
      </c>
      <c r="E101" s="5" t="s">
        <v>877</v>
      </c>
      <c r="F101" s="5">
        <v>4</v>
      </c>
      <c r="G101" s="5" t="s">
        <v>206</v>
      </c>
      <c r="H101" s="5" t="s">
        <v>878</v>
      </c>
      <c r="I101" s="1" t="s">
        <v>879</v>
      </c>
      <c r="J101" s="5" t="s">
        <v>880</v>
      </c>
      <c r="K101" s="5" t="s">
        <v>881</v>
      </c>
      <c r="L101" s="1" t="s">
        <v>882</v>
      </c>
      <c r="M101" s="1" t="s">
        <v>883</v>
      </c>
      <c r="N101" s="1" t="s">
        <v>865</v>
      </c>
      <c r="O101" s="1" t="s">
        <v>28</v>
      </c>
      <c r="P101" s="1"/>
      <c r="Q101" s="1" t="s">
        <v>855</v>
      </c>
    </row>
    <row r="102" spans="1:17" ht="42.75">
      <c r="A102" s="5" t="s">
        <v>884</v>
      </c>
      <c r="B102" s="5" t="s">
        <v>835</v>
      </c>
      <c r="C102" s="5" t="s">
        <v>203</v>
      </c>
      <c r="D102" s="5" t="s">
        <v>885</v>
      </c>
      <c r="E102" s="5" t="s">
        <v>886</v>
      </c>
      <c r="F102" s="5">
        <v>5</v>
      </c>
      <c r="G102" s="5" t="s">
        <v>822</v>
      </c>
      <c r="H102" s="5" t="s">
        <v>887</v>
      </c>
      <c r="I102" s="5" t="s">
        <v>888</v>
      </c>
      <c r="J102" s="5" t="s">
        <v>889</v>
      </c>
      <c r="K102" s="5" t="s">
        <v>890</v>
      </c>
      <c r="L102" s="1"/>
      <c r="M102" s="1" t="s">
        <v>891</v>
      </c>
      <c r="N102" s="1" t="s">
        <v>865</v>
      </c>
      <c r="O102" s="1" t="s">
        <v>28</v>
      </c>
      <c r="P102" s="1"/>
      <c r="Q102" s="1" t="s">
        <v>855</v>
      </c>
    </row>
    <row r="103" spans="1:17" ht="57">
      <c r="A103" s="5" t="s">
        <v>892</v>
      </c>
      <c r="B103" s="5" t="s">
        <v>835</v>
      </c>
      <c r="C103" s="5" t="s">
        <v>122</v>
      </c>
      <c r="D103" s="5" t="s">
        <v>893</v>
      </c>
      <c r="E103" s="5" t="s">
        <v>894</v>
      </c>
      <c r="F103" s="5">
        <v>3</v>
      </c>
      <c r="G103" s="5" t="s">
        <v>296</v>
      </c>
      <c r="H103" s="5" t="s">
        <v>895</v>
      </c>
      <c r="I103" s="1" t="s">
        <v>896</v>
      </c>
      <c r="J103" s="5" t="s">
        <v>897</v>
      </c>
      <c r="K103" s="5" t="s">
        <v>898</v>
      </c>
      <c r="L103" s="1" t="s">
        <v>899</v>
      </c>
      <c r="M103" s="1" t="s">
        <v>900</v>
      </c>
      <c r="N103" s="1" t="s">
        <v>901</v>
      </c>
      <c r="O103" s="1" t="s">
        <v>28</v>
      </c>
      <c r="P103" s="1"/>
      <c r="Q103" s="1" t="s">
        <v>902</v>
      </c>
    </row>
    <row r="104" spans="1:17" ht="71.25">
      <c r="A104" s="5" t="s">
        <v>903</v>
      </c>
      <c r="B104" s="5" t="s">
        <v>835</v>
      </c>
      <c r="C104" s="5" t="s">
        <v>122</v>
      </c>
      <c r="D104" s="5" t="s">
        <v>904</v>
      </c>
      <c r="E104" s="5" t="s">
        <v>905</v>
      </c>
      <c r="F104" s="5">
        <v>3</v>
      </c>
      <c r="G104" s="5" t="s">
        <v>296</v>
      </c>
      <c r="H104" s="5" t="s">
        <v>906</v>
      </c>
      <c r="I104" s="5" t="s">
        <v>907</v>
      </c>
      <c r="J104" s="5" t="s">
        <v>908</v>
      </c>
      <c r="K104" s="5" t="s">
        <v>909</v>
      </c>
      <c r="L104" s="1" t="s">
        <v>910</v>
      </c>
      <c r="M104" s="1" t="s">
        <v>911</v>
      </c>
      <c r="N104" s="1" t="s">
        <v>912</v>
      </c>
      <c r="O104" s="1" t="s">
        <v>28</v>
      </c>
      <c r="P104" s="1"/>
      <c r="Q104" s="1" t="s">
        <v>913</v>
      </c>
    </row>
    <row r="105" spans="1:17" ht="85.5">
      <c r="A105" s="5" t="s">
        <v>914</v>
      </c>
      <c r="B105" s="5" t="s">
        <v>835</v>
      </c>
      <c r="C105" s="5" t="s">
        <v>203</v>
      </c>
      <c r="D105" s="5" t="s">
        <v>915</v>
      </c>
      <c r="E105" s="5" t="s">
        <v>916</v>
      </c>
      <c r="F105" s="5">
        <v>4</v>
      </c>
      <c r="G105" s="5" t="s">
        <v>206</v>
      </c>
      <c r="H105" s="5" t="s">
        <v>917</v>
      </c>
      <c r="I105" s="1" t="s">
        <v>788</v>
      </c>
      <c r="J105" s="5" t="s">
        <v>918</v>
      </c>
      <c r="K105" s="5" t="s">
        <v>919</v>
      </c>
      <c r="L105" s="1"/>
      <c r="M105" s="1" t="s">
        <v>920</v>
      </c>
      <c r="N105" s="1" t="s">
        <v>921</v>
      </c>
      <c r="O105" s="1" t="s">
        <v>28</v>
      </c>
      <c r="P105" s="1"/>
      <c r="Q105" s="1" t="s">
        <v>922</v>
      </c>
    </row>
    <row r="106" spans="1:17" ht="71.25">
      <c r="A106" s="5" t="s">
        <v>923</v>
      </c>
      <c r="B106" s="5" t="s">
        <v>835</v>
      </c>
      <c r="C106" s="5" t="s">
        <v>203</v>
      </c>
      <c r="D106" s="5" t="s">
        <v>924</v>
      </c>
      <c r="E106" s="5" t="s">
        <v>925</v>
      </c>
      <c r="F106" s="5">
        <v>5</v>
      </c>
      <c r="G106" s="5" t="s">
        <v>822</v>
      </c>
      <c r="H106" s="5" t="s">
        <v>926</v>
      </c>
      <c r="I106" s="5" t="s">
        <v>892</v>
      </c>
      <c r="J106" s="5" t="s">
        <v>927</v>
      </c>
      <c r="K106" s="5" t="s">
        <v>928</v>
      </c>
      <c r="L106" s="1"/>
      <c r="M106" s="1" t="s">
        <v>929</v>
      </c>
      <c r="N106" s="1" t="s">
        <v>930</v>
      </c>
      <c r="O106" s="1" t="s">
        <v>28</v>
      </c>
      <c r="P106" s="1"/>
      <c r="Q106" s="1" t="s">
        <v>931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workbookViewId="0"/>
  </sheetViews>
  <sheetFormatPr defaultRowHeight="14.25"/>
  <cols>
    <col min="1" max="1" width="13" customWidth="1"/>
    <col min="2" max="2" width="24" customWidth="1"/>
    <col min="3" max="3" width="16" customWidth="1"/>
    <col min="4" max="5" width="28" customWidth="1"/>
    <col min="6" max="6" width="10" customWidth="1"/>
    <col min="7" max="10" width="12" customWidth="1"/>
    <col min="11" max="11" width="10" customWidth="1"/>
    <col min="12" max="12" width="14" customWidth="1"/>
    <col min="13" max="16" width="28" customWidth="1"/>
    <col min="17" max="17" width="15" customWidth="1"/>
    <col min="18" max="18" width="34" customWidth="1"/>
  </cols>
  <sheetData>
    <row r="1" spans="1:18" ht="30">
      <c r="A1" s="3" t="s">
        <v>932</v>
      </c>
      <c r="B1" s="3" t="s">
        <v>933</v>
      </c>
      <c r="C1" s="3" t="s">
        <v>934</v>
      </c>
      <c r="D1" s="3" t="s">
        <v>935</v>
      </c>
      <c r="E1" s="3" t="s">
        <v>936</v>
      </c>
      <c r="F1" s="3" t="s">
        <v>937</v>
      </c>
      <c r="G1" s="3" t="s">
        <v>938</v>
      </c>
      <c r="H1" s="3" t="s">
        <v>939</v>
      </c>
      <c r="I1" s="3" t="s">
        <v>940</v>
      </c>
      <c r="J1" s="3" t="s">
        <v>14</v>
      </c>
      <c r="K1" s="3" t="s">
        <v>941</v>
      </c>
      <c r="L1" s="3" t="s">
        <v>942</v>
      </c>
      <c r="M1" s="3" t="s">
        <v>11</v>
      </c>
      <c r="N1" s="3" t="s">
        <v>12</v>
      </c>
      <c r="O1" s="3" t="s">
        <v>943</v>
      </c>
      <c r="P1" s="3" t="s">
        <v>944</v>
      </c>
      <c r="Q1" s="3" t="s">
        <v>945</v>
      </c>
      <c r="R1" s="3" t="s">
        <v>946</v>
      </c>
    </row>
    <row r="2" spans="1:1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6"/>
      <c r="R2" s="4"/>
    </row>
    <row r="3" spans="1: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6"/>
      <c r="R3" s="4"/>
    </row>
    <row r="4" spans="1:1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"/>
      <c r="R4" s="4"/>
    </row>
    <row r="5" spans="1:1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  <c r="R5" s="4"/>
    </row>
    <row r="6" spans="1:1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"/>
      <c r="R6" s="4"/>
    </row>
    <row r="7" spans="1:1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6"/>
      <c r="R7" s="4"/>
    </row>
    <row r="8" spans="1:1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6"/>
      <c r="R8" s="4"/>
    </row>
    <row r="9" spans="1:1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6"/>
      <c r="R9" s="4"/>
    </row>
    <row r="10" spans="1:1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6"/>
      <c r="R10" s="4"/>
    </row>
    <row r="11" spans="1:1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6"/>
      <c r="R11" s="4"/>
    </row>
    <row r="12" spans="1:1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6"/>
      <c r="R12" s="4"/>
    </row>
    <row r="13" spans="1:1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"/>
      <c r="R13" s="4"/>
    </row>
    <row r="14" spans="1:1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6"/>
      <c r="R14" s="4"/>
    </row>
    <row r="15" spans="1:1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6"/>
      <c r="R15" s="4"/>
    </row>
    <row r="16" spans="1:1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6"/>
      <c r="R16" s="4"/>
    </row>
    <row r="17" spans="1:1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/>
      <c r="R17" s="4"/>
    </row>
    <row r="18" spans="1: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  <c r="R18" s="4"/>
    </row>
    <row r="19" spans="1:1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6"/>
      <c r="R19" s="4"/>
    </row>
    <row r="20" spans="1:1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6"/>
      <c r="R20" s="4"/>
    </row>
    <row r="21" spans="1:1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6"/>
      <c r="R21" s="4"/>
    </row>
    <row r="22" spans="1:1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6"/>
      <c r="R22" s="4"/>
    </row>
    <row r="23" spans="1:1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6"/>
      <c r="R23" s="4"/>
    </row>
    <row r="24" spans="1:1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6"/>
      <c r="R24" s="4"/>
    </row>
    <row r="25" spans="1:1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6"/>
      <c r="R25" s="4"/>
    </row>
    <row r="26" spans="1:1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6"/>
      <c r="R26" s="4"/>
    </row>
    <row r="27" spans="1:1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6"/>
      <c r="R27" s="4"/>
    </row>
    <row r="28" spans="1:1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6"/>
      <c r="R28" s="4"/>
    </row>
    <row r="29" spans="1:1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6"/>
      <c r="R29" s="4"/>
    </row>
    <row r="30" spans="1:1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6"/>
      <c r="R30" s="4"/>
    </row>
    <row r="31" spans="1:1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6"/>
      <c r="R31" s="4"/>
    </row>
    <row r="32" spans="1:1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6"/>
      <c r="R32" s="4"/>
    </row>
    <row r="33" spans="1:1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6"/>
      <c r="R33" s="4"/>
    </row>
    <row r="34" spans="1:1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6"/>
      <c r="R34" s="4"/>
    </row>
    <row r="35" spans="1:1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6"/>
      <c r="R35" s="4"/>
    </row>
    <row r="36" spans="1:1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6"/>
      <c r="R36" s="4"/>
    </row>
    <row r="37" spans="1:1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6"/>
      <c r="R37" s="4"/>
    </row>
    <row r="38" spans="1:1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6"/>
      <c r="R38" s="4"/>
    </row>
    <row r="39" spans="1:1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6"/>
      <c r="R39" s="4"/>
    </row>
    <row r="40" spans="1:1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6"/>
      <c r="R40" s="4"/>
    </row>
    <row r="41" spans="1:1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6"/>
      <c r="R41" s="4"/>
    </row>
    <row r="42" spans="1:1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6"/>
      <c r="R42" s="4"/>
    </row>
    <row r="43" spans="1:1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6"/>
      <c r="R43" s="4"/>
    </row>
    <row r="44" spans="1:1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6"/>
      <c r="R44" s="4"/>
    </row>
    <row r="45" spans="1:1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6"/>
      <c r="R45" s="4"/>
    </row>
    <row r="46" spans="1:1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6"/>
      <c r="R46" s="4"/>
    </row>
    <row r="47" spans="1:1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6"/>
      <c r="R47" s="4"/>
    </row>
    <row r="48" spans="1:1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6"/>
      <c r="R48" s="4"/>
    </row>
    <row r="49" spans="1:1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6"/>
      <c r="R49" s="4"/>
    </row>
    <row r="50" spans="1:1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6"/>
      <c r="R50" s="4"/>
    </row>
    <row r="51" spans="1:1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6"/>
      <c r="R51" s="4"/>
    </row>
    <row r="52" spans="1:1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6"/>
      <c r="R52" s="4"/>
    </row>
    <row r="53" spans="1:1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6"/>
      <c r="R53" s="4"/>
    </row>
    <row r="54" spans="1:1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6"/>
      <c r="R54" s="4"/>
    </row>
    <row r="55" spans="1:1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6"/>
      <c r="R55" s="4"/>
    </row>
    <row r="56" spans="1:1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6"/>
      <c r="R56" s="4"/>
    </row>
    <row r="57" spans="1:1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6"/>
      <c r="R57" s="4"/>
    </row>
    <row r="58" spans="1:1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6"/>
      <c r="R58" s="4"/>
    </row>
    <row r="59" spans="1:1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6"/>
      <c r="R59" s="4"/>
    </row>
    <row r="60" spans="1:1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6"/>
      <c r="R60" s="4"/>
    </row>
    <row r="61" spans="1:1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6"/>
      <c r="R61" s="4"/>
    </row>
    <row r="62" spans="1:1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6"/>
      <c r="R62" s="4"/>
    </row>
    <row r="63" spans="1:1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6"/>
      <c r="R63" s="4"/>
    </row>
    <row r="64" spans="1:1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6"/>
      <c r="R64" s="4"/>
    </row>
    <row r="65" spans="1:1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6"/>
      <c r="R65" s="4"/>
    </row>
    <row r="66" spans="1:1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6"/>
      <c r="R66" s="4"/>
    </row>
    <row r="67" spans="1:1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6"/>
      <c r="R67" s="4"/>
    </row>
    <row r="68" spans="1:1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6"/>
      <c r="R68" s="4"/>
    </row>
    <row r="69" spans="1:1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6"/>
      <c r="R69" s="4"/>
    </row>
    <row r="70" spans="1:1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6"/>
      <c r="R70" s="4"/>
    </row>
    <row r="71" spans="1:1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6"/>
      <c r="R71" s="4"/>
    </row>
    <row r="72" spans="1:1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6"/>
      <c r="R72" s="4"/>
    </row>
    <row r="73" spans="1:1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6"/>
      <c r="R73" s="4"/>
    </row>
    <row r="74" spans="1:1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6"/>
      <c r="R74" s="4"/>
    </row>
    <row r="75" spans="1:1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6"/>
      <c r="R75" s="4"/>
    </row>
    <row r="76" spans="1:1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6"/>
      <c r="R76" s="4"/>
    </row>
    <row r="77" spans="1:1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6"/>
      <c r="R77" s="4"/>
    </row>
    <row r="78" spans="1:1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6"/>
      <c r="R78" s="4"/>
    </row>
    <row r="79" spans="1:1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6"/>
      <c r="R79" s="4"/>
    </row>
    <row r="80" spans="1:1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6"/>
      <c r="R80" s="4"/>
    </row>
    <row r="81" spans="1:1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6"/>
      <c r="R81" s="4"/>
    </row>
    <row r="82" spans="1:1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6"/>
      <c r="R82" s="4"/>
    </row>
    <row r="83" spans="1:1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6"/>
      <c r="R83" s="4"/>
    </row>
    <row r="84" spans="1:1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6"/>
      <c r="R84" s="4"/>
    </row>
    <row r="85" spans="1:1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6"/>
      <c r="R85" s="4"/>
    </row>
    <row r="86" spans="1:1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6"/>
      <c r="R86" s="4"/>
    </row>
    <row r="87" spans="1:1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6"/>
      <c r="R87" s="4"/>
    </row>
    <row r="88" spans="1:1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6"/>
      <c r="R88" s="4"/>
    </row>
    <row r="89" spans="1:1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6"/>
      <c r="R89" s="4"/>
    </row>
    <row r="90" spans="1:1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6"/>
      <c r="R90" s="4"/>
    </row>
    <row r="91" spans="1:1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6"/>
      <c r="R91" s="4"/>
    </row>
    <row r="92" spans="1:1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6"/>
      <c r="R92" s="4"/>
    </row>
    <row r="93" spans="1:1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6"/>
      <c r="R93" s="4"/>
    </row>
    <row r="94" spans="1:1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6"/>
      <c r="R94" s="4"/>
    </row>
    <row r="95" spans="1:1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6"/>
      <c r="R95" s="4"/>
    </row>
    <row r="96" spans="1:1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6"/>
      <c r="R96" s="4"/>
    </row>
    <row r="97" spans="1:1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6"/>
      <c r="R97" s="4"/>
    </row>
    <row r="98" spans="1:1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6"/>
      <c r="R98" s="4"/>
    </row>
    <row r="99" spans="1:1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6"/>
      <c r="R99" s="4"/>
    </row>
    <row r="100" spans="1:1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6"/>
      <c r="R100" s="4"/>
    </row>
    <row r="101" spans="1:1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6"/>
      <c r="R101" s="4"/>
    </row>
  </sheetData>
  <conditionalFormatting sqref="K2:K101">
    <cfRule type="expression" dxfId="5" priority="1">
      <formula>K2="Red"</formula>
    </cfRule>
    <cfRule type="expression" dxfId="4" priority="2">
      <formula>K2="Yellow"</formula>
    </cfRule>
    <cfRule type="expression" dxfId="3" priority="3">
      <formula>K2="Green"</formula>
    </cfRule>
  </conditionalFormatting>
  <dataValidations count="3">
    <dataValidation type="list" sqref="F2:F101" xr:uid="{00000000-0002-0000-0100-000000000000}">
      <formula1>"P,I,T,R"</formula1>
    </dataValidation>
    <dataValidation type="list" sqref="J2:J101" xr:uid="{00000000-0002-0000-0100-000001000000}">
      <formula1>"Candidate,Probation,Active,On Hold,Completed,Exited"</formula1>
    </dataValidation>
    <dataValidation type="list" sqref="K2:K101" xr:uid="{00000000-0002-0000-0100-000002000000}">
      <formula1>"Green,Yellow,Red"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1"/>
  <sheetViews>
    <sheetView workbookViewId="0"/>
  </sheetViews>
  <sheetFormatPr defaultRowHeight="14.25"/>
  <cols>
    <col min="1" max="1" width="13" customWidth="1"/>
    <col min="2" max="2" width="24" customWidth="1"/>
    <col min="3" max="18" width="12" customWidth="1"/>
    <col min="19" max="19" width="10" customWidth="1"/>
    <col min="20" max="24" width="12" customWidth="1"/>
    <col min="25" max="25" width="10" customWidth="1"/>
    <col min="26" max="30" width="12" customWidth="1"/>
    <col min="31" max="31" width="10" customWidth="1"/>
    <col min="32" max="32" width="18" customWidth="1"/>
    <col min="33" max="33" width="36" customWidth="1"/>
  </cols>
  <sheetData>
    <row r="1" spans="1:33" ht="45">
      <c r="A1" s="3" t="s">
        <v>932</v>
      </c>
      <c r="B1" s="3" t="s">
        <v>933</v>
      </c>
      <c r="C1" s="3" t="s">
        <v>947</v>
      </c>
      <c r="D1" s="3" t="s">
        <v>948</v>
      </c>
      <c r="E1" s="3" t="s">
        <v>949</v>
      </c>
      <c r="F1" s="3" t="s">
        <v>950</v>
      </c>
      <c r="G1" s="3" t="s">
        <v>951</v>
      </c>
      <c r="H1" s="3" t="s">
        <v>952</v>
      </c>
      <c r="I1" s="3" t="s">
        <v>953</v>
      </c>
      <c r="J1" s="3" t="s">
        <v>954</v>
      </c>
      <c r="K1" s="3" t="s">
        <v>955</v>
      </c>
      <c r="L1" s="3" t="s">
        <v>956</v>
      </c>
      <c r="M1" s="3" t="s">
        <v>957</v>
      </c>
      <c r="N1" s="3" t="s">
        <v>958</v>
      </c>
      <c r="O1" s="3" t="s">
        <v>959</v>
      </c>
      <c r="P1" s="3" t="s">
        <v>960</v>
      </c>
      <c r="Q1" s="3" t="s">
        <v>961</v>
      </c>
      <c r="R1" s="3" t="s">
        <v>962</v>
      </c>
      <c r="S1" s="3" t="s">
        <v>963</v>
      </c>
      <c r="T1" s="3" t="s">
        <v>964</v>
      </c>
      <c r="U1" s="3" t="s">
        <v>965</v>
      </c>
      <c r="V1" s="3" t="s">
        <v>966</v>
      </c>
      <c r="W1" s="3" t="s">
        <v>967</v>
      </c>
      <c r="X1" s="3" t="s">
        <v>968</v>
      </c>
      <c r="Y1" s="3" t="s">
        <v>969</v>
      </c>
      <c r="Z1" s="3" t="s">
        <v>970</v>
      </c>
      <c r="AA1" s="3" t="s">
        <v>971</v>
      </c>
      <c r="AB1" s="3" t="s">
        <v>972</v>
      </c>
      <c r="AC1" s="3" t="s">
        <v>973</v>
      </c>
      <c r="AD1" s="3" t="s">
        <v>974</v>
      </c>
      <c r="AE1" s="3" t="s">
        <v>975</v>
      </c>
      <c r="AF1" s="3" t="s">
        <v>976</v>
      </c>
      <c r="AG1" s="3" t="s">
        <v>977</v>
      </c>
    </row>
    <row r="2" spans="1:3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 t="str">
        <f t="shared" ref="S2:S33" si="0">IFERROR(AVERAGE(C2:R2),"")</f>
        <v/>
      </c>
      <c r="T2" s="4"/>
      <c r="U2" s="4"/>
      <c r="V2" s="4"/>
      <c r="W2" s="4"/>
      <c r="X2" s="4"/>
      <c r="Y2" s="4" t="str">
        <f t="shared" ref="Y2:Y33" si="1">IF(COUNTA(T2:X2)=0,"",SUM(T2:X2))</f>
        <v/>
      </c>
      <c r="Z2" s="4"/>
      <c r="AA2" s="4"/>
      <c r="AB2" s="4"/>
      <c r="AC2" s="4"/>
      <c r="AD2" s="4"/>
      <c r="AE2" s="4" t="str">
        <f t="shared" ref="AE2:AE33" si="2">IFERROR(AVERAGE(Z2:AD2),"")</f>
        <v/>
      </c>
      <c r="AF2" s="4"/>
      <c r="AG2" s="4"/>
    </row>
    <row r="3" spans="1:3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 t="str">
        <f t="shared" si="0"/>
        <v/>
      </c>
      <c r="T3" s="4"/>
      <c r="U3" s="4"/>
      <c r="V3" s="4"/>
      <c r="W3" s="4"/>
      <c r="X3" s="4"/>
      <c r="Y3" s="4" t="str">
        <f t="shared" si="1"/>
        <v/>
      </c>
      <c r="Z3" s="4"/>
      <c r="AA3" s="4"/>
      <c r="AB3" s="4"/>
      <c r="AC3" s="4"/>
      <c r="AD3" s="4"/>
      <c r="AE3" s="4" t="str">
        <f t="shared" si="2"/>
        <v/>
      </c>
      <c r="AF3" s="4"/>
      <c r="AG3" s="4"/>
    </row>
    <row r="4" spans="1:3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 t="str">
        <f t="shared" si="0"/>
        <v/>
      </c>
      <c r="T4" s="4"/>
      <c r="U4" s="4"/>
      <c r="V4" s="4"/>
      <c r="W4" s="4"/>
      <c r="X4" s="4"/>
      <c r="Y4" s="4" t="str">
        <f t="shared" si="1"/>
        <v/>
      </c>
      <c r="Z4" s="4"/>
      <c r="AA4" s="4"/>
      <c r="AB4" s="4"/>
      <c r="AC4" s="4"/>
      <c r="AD4" s="4"/>
      <c r="AE4" s="4" t="str">
        <f t="shared" si="2"/>
        <v/>
      </c>
      <c r="AF4" s="4"/>
      <c r="AG4" s="4"/>
    </row>
    <row r="5" spans="1:3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 t="str">
        <f t="shared" si="0"/>
        <v/>
      </c>
      <c r="T5" s="4"/>
      <c r="U5" s="4"/>
      <c r="V5" s="4"/>
      <c r="W5" s="4"/>
      <c r="X5" s="4"/>
      <c r="Y5" s="4" t="str">
        <f t="shared" si="1"/>
        <v/>
      </c>
      <c r="Z5" s="4"/>
      <c r="AA5" s="4"/>
      <c r="AB5" s="4"/>
      <c r="AC5" s="4"/>
      <c r="AD5" s="4"/>
      <c r="AE5" s="4" t="str">
        <f t="shared" si="2"/>
        <v/>
      </c>
      <c r="AF5" s="4"/>
      <c r="AG5" s="4"/>
    </row>
    <row r="6" spans="1:3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 t="str">
        <f t="shared" si="0"/>
        <v/>
      </c>
      <c r="T6" s="4"/>
      <c r="U6" s="4"/>
      <c r="V6" s="4"/>
      <c r="W6" s="4"/>
      <c r="X6" s="4"/>
      <c r="Y6" s="4" t="str">
        <f t="shared" si="1"/>
        <v/>
      </c>
      <c r="Z6" s="4"/>
      <c r="AA6" s="4"/>
      <c r="AB6" s="4"/>
      <c r="AC6" s="4"/>
      <c r="AD6" s="4"/>
      <c r="AE6" s="4" t="str">
        <f t="shared" si="2"/>
        <v/>
      </c>
      <c r="AF6" s="4"/>
      <c r="AG6" s="4"/>
    </row>
    <row r="7" spans="1:3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tr">
        <f t="shared" si="0"/>
        <v/>
      </c>
      <c r="T7" s="4"/>
      <c r="U7" s="4"/>
      <c r="V7" s="4"/>
      <c r="W7" s="4"/>
      <c r="X7" s="4"/>
      <c r="Y7" s="4" t="str">
        <f t="shared" si="1"/>
        <v/>
      </c>
      <c r="Z7" s="4"/>
      <c r="AA7" s="4"/>
      <c r="AB7" s="4"/>
      <c r="AC7" s="4"/>
      <c r="AD7" s="4"/>
      <c r="AE7" s="4" t="str">
        <f t="shared" si="2"/>
        <v/>
      </c>
      <c r="AF7" s="4"/>
      <c r="AG7" s="4"/>
    </row>
    <row r="8" spans="1:3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tr">
        <f t="shared" si="0"/>
        <v/>
      </c>
      <c r="T8" s="4"/>
      <c r="U8" s="4"/>
      <c r="V8" s="4"/>
      <c r="W8" s="4"/>
      <c r="X8" s="4"/>
      <c r="Y8" s="4" t="str">
        <f t="shared" si="1"/>
        <v/>
      </c>
      <c r="Z8" s="4"/>
      <c r="AA8" s="4"/>
      <c r="AB8" s="4"/>
      <c r="AC8" s="4"/>
      <c r="AD8" s="4"/>
      <c r="AE8" s="4" t="str">
        <f t="shared" si="2"/>
        <v/>
      </c>
      <c r="AF8" s="4"/>
      <c r="AG8" s="4"/>
    </row>
    <row r="9" spans="1:3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tr">
        <f t="shared" si="0"/>
        <v/>
      </c>
      <c r="T9" s="4"/>
      <c r="U9" s="4"/>
      <c r="V9" s="4"/>
      <c r="W9" s="4"/>
      <c r="X9" s="4"/>
      <c r="Y9" s="4" t="str">
        <f t="shared" si="1"/>
        <v/>
      </c>
      <c r="Z9" s="4"/>
      <c r="AA9" s="4"/>
      <c r="AB9" s="4"/>
      <c r="AC9" s="4"/>
      <c r="AD9" s="4"/>
      <c r="AE9" s="4" t="str">
        <f t="shared" si="2"/>
        <v/>
      </c>
      <c r="AF9" s="4"/>
      <c r="AG9" s="4"/>
    </row>
    <row r="10" spans="1:3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tr">
        <f t="shared" si="0"/>
        <v/>
      </c>
      <c r="T10" s="4"/>
      <c r="U10" s="4"/>
      <c r="V10" s="4"/>
      <c r="W10" s="4"/>
      <c r="X10" s="4"/>
      <c r="Y10" s="4" t="str">
        <f t="shared" si="1"/>
        <v/>
      </c>
      <c r="Z10" s="4"/>
      <c r="AA10" s="4"/>
      <c r="AB10" s="4"/>
      <c r="AC10" s="4"/>
      <c r="AD10" s="4"/>
      <c r="AE10" s="4" t="str">
        <f t="shared" si="2"/>
        <v/>
      </c>
      <c r="AF10" s="4"/>
      <c r="AG10" s="4"/>
    </row>
    <row r="11" spans="1:3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tr">
        <f t="shared" si="0"/>
        <v/>
      </c>
      <c r="T11" s="4"/>
      <c r="U11" s="4"/>
      <c r="V11" s="4"/>
      <c r="W11" s="4"/>
      <c r="X11" s="4"/>
      <c r="Y11" s="4" t="str">
        <f t="shared" si="1"/>
        <v/>
      </c>
      <c r="Z11" s="4"/>
      <c r="AA11" s="4"/>
      <c r="AB11" s="4"/>
      <c r="AC11" s="4"/>
      <c r="AD11" s="4"/>
      <c r="AE11" s="4" t="str">
        <f t="shared" si="2"/>
        <v/>
      </c>
      <c r="AF11" s="4"/>
      <c r="AG11" s="4"/>
    </row>
    <row r="12" spans="1:3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tr">
        <f t="shared" si="0"/>
        <v/>
      </c>
      <c r="T12" s="4"/>
      <c r="U12" s="4"/>
      <c r="V12" s="4"/>
      <c r="W12" s="4"/>
      <c r="X12" s="4"/>
      <c r="Y12" s="4" t="str">
        <f t="shared" si="1"/>
        <v/>
      </c>
      <c r="Z12" s="4"/>
      <c r="AA12" s="4"/>
      <c r="AB12" s="4"/>
      <c r="AC12" s="4"/>
      <c r="AD12" s="4"/>
      <c r="AE12" s="4" t="str">
        <f t="shared" si="2"/>
        <v/>
      </c>
      <c r="AF12" s="4"/>
      <c r="AG12" s="4"/>
    </row>
    <row r="13" spans="1:3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tr">
        <f t="shared" si="0"/>
        <v/>
      </c>
      <c r="T13" s="4"/>
      <c r="U13" s="4"/>
      <c r="V13" s="4"/>
      <c r="W13" s="4"/>
      <c r="X13" s="4"/>
      <c r="Y13" s="4" t="str">
        <f t="shared" si="1"/>
        <v/>
      </c>
      <c r="Z13" s="4"/>
      <c r="AA13" s="4"/>
      <c r="AB13" s="4"/>
      <c r="AC13" s="4"/>
      <c r="AD13" s="4"/>
      <c r="AE13" s="4" t="str">
        <f t="shared" si="2"/>
        <v/>
      </c>
      <c r="AF13" s="4"/>
      <c r="AG13" s="4"/>
    </row>
    <row r="14" spans="1:3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tr">
        <f t="shared" si="0"/>
        <v/>
      </c>
      <c r="T14" s="4"/>
      <c r="U14" s="4"/>
      <c r="V14" s="4"/>
      <c r="W14" s="4"/>
      <c r="X14" s="4"/>
      <c r="Y14" s="4" t="str">
        <f t="shared" si="1"/>
        <v/>
      </c>
      <c r="Z14" s="4"/>
      <c r="AA14" s="4"/>
      <c r="AB14" s="4"/>
      <c r="AC14" s="4"/>
      <c r="AD14" s="4"/>
      <c r="AE14" s="4" t="str">
        <f t="shared" si="2"/>
        <v/>
      </c>
      <c r="AF14" s="4"/>
      <c r="AG14" s="4"/>
    </row>
    <row r="15" spans="1:3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tr">
        <f t="shared" si="0"/>
        <v/>
      </c>
      <c r="T15" s="4"/>
      <c r="U15" s="4"/>
      <c r="V15" s="4"/>
      <c r="W15" s="4"/>
      <c r="X15" s="4"/>
      <c r="Y15" s="4" t="str">
        <f t="shared" si="1"/>
        <v/>
      </c>
      <c r="Z15" s="4"/>
      <c r="AA15" s="4"/>
      <c r="AB15" s="4"/>
      <c r="AC15" s="4"/>
      <c r="AD15" s="4"/>
      <c r="AE15" s="4" t="str">
        <f t="shared" si="2"/>
        <v/>
      </c>
      <c r="AF15" s="4"/>
      <c r="AG15" s="4"/>
    </row>
    <row r="16" spans="1:3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 t="str">
        <f t="shared" si="0"/>
        <v/>
      </c>
      <c r="T16" s="4"/>
      <c r="U16" s="4"/>
      <c r="V16" s="4"/>
      <c r="W16" s="4"/>
      <c r="X16" s="4"/>
      <c r="Y16" s="4" t="str">
        <f t="shared" si="1"/>
        <v/>
      </c>
      <c r="Z16" s="4"/>
      <c r="AA16" s="4"/>
      <c r="AB16" s="4"/>
      <c r="AC16" s="4"/>
      <c r="AD16" s="4"/>
      <c r="AE16" s="4" t="str">
        <f t="shared" si="2"/>
        <v/>
      </c>
      <c r="AF16" s="4"/>
      <c r="AG16" s="4"/>
    </row>
    <row r="17" spans="1:3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tr">
        <f t="shared" si="0"/>
        <v/>
      </c>
      <c r="T17" s="4"/>
      <c r="U17" s="4"/>
      <c r="V17" s="4"/>
      <c r="W17" s="4"/>
      <c r="X17" s="4"/>
      <c r="Y17" s="4" t="str">
        <f t="shared" si="1"/>
        <v/>
      </c>
      <c r="Z17" s="4"/>
      <c r="AA17" s="4"/>
      <c r="AB17" s="4"/>
      <c r="AC17" s="4"/>
      <c r="AD17" s="4"/>
      <c r="AE17" s="4" t="str">
        <f t="shared" si="2"/>
        <v/>
      </c>
      <c r="AF17" s="4"/>
      <c r="AG17" s="4"/>
    </row>
    <row r="18" spans="1:3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 t="str">
        <f t="shared" si="0"/>
        <v/>
      </c>
      <c r="T18" s="4"/>
      <c r="U18" s="4"/>
      <c r="V18" s="4"/>
      <c r="W18" s="4"/>
      <c r="X18" s="4"/>
      <c r="Y18" s="4" t="str">
        <f t="shared" si="1"/>
        <v/>
      </c>
      <c r="Z18" s="4"/>
      <c r="AA18" s="4"/>
      <c r="AB18" s="4"/>
      <c r="AC18" s="4"/>
      <c r="AD18" s="4"/>
      <c r="AE18" s="4" t="str">
        <f t="shared" si="2"/>
        <v/>
      </c>
      <c r="AF18" s="4"/>
      <c r="AG18" s="4"/>
    </row>
    <row r="19" spans="1:3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 t="str">
        <f t="shared" si="0"/>
        <v/>
      </c>
      <c r="T19" s="4"/>
      <c r="U19" s="4"/>
      <c r="V19" s="4"/>
      <c r="W19" s="4"/>
      <c r="X19" s="4"/>
      <c r="Y19" s="4" t="str">
        <f t="shared" si="1"/>
        <v/>
      </c>
      <c r="Z19" s="4"/>
      <c r="AA19" s="4"/>
      <c r="AB19" s="4"/>
      <c r="AC19" s="4"/>
      <c r="AD19" s="4"/>
      <c r="AE19" s="4" t="str">
        <f t="shared" si="2"/>
        <v/>
      </c>
      <c r="AF19" s="4"/>
      <c r="AG19" s="4"/>
    </row>
    <row r="20" spans="1:3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 t="str">
        <f t="shared" si="0"/>
        <v/>
      </c>
      <c r="T20" s="4"/>
      <c r="U20" s="4"/>
      <c r="V20" s="4"/>
      <c r="W20" s="4"/>
      <c r="X20" s="4"/>
      <c r="Y20" s="4" t="str">
        <f t="shared" si="1"/>
        <v/>
      </c>
      <c r="Z20" s="4"/>
      <c r="AA20" s="4"/>
      <c r="AB20" s="4"/>
      <c r="AC20" s="4"/>
      <c r="AD20" s="4"/>
      <c r="AE20" s="4" t="str">
        <f t="shared" si="2"/>
        <v/>
      </c>
      <c r="AF20" s="4"/>
      <c r="AG20" s="4"/>
    </row>
    <row r="21" spans="1:3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str">
        <f t="shared" si="0"/>
        <v/>
      </c>
      <c r="T21" s="4"/>
      <c r="U21" s="4"/>
      <c r="V21" s="4"/>
      <c r="W21" s="4"/>
      <c r="X21" s="4"/>
      <c r="Y21" s="4" t="str">
        <f t="shared" si="1"/>
        <v/>
      </c>
      <c r="Z21" s="4"/>
      <c r="AA21" s="4"/>
      <c r="AB21" s="4"/>
      <c r="AC21" s="4"/>
      <c r="AD21" s="4"/>
      <c r="AE21" s="4" t="str">
        <f t="shared" si="2"/>
        <v/>
      </c>
      <c r="AF21" s="4"/>
      <c r="AG21" s="4"/>
    </row>
    <row r="22" spans="1:3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 t="str">
        <f t="shared" si="0"/>
        <v/>
      </c>
      <c r="T22" s="4"/>
      <c r="U22" s="4"/>
      <c r="V22" s="4"/>
      <c r="W22" s="4"/>
      <c r="X22" s="4"/>
      <c r="Y22" s="4" t="str">
        <f t="shared" si="1"/>
        <v/>
      </c>
      <c r="Z22" s="4"/>
      <c r="AA22" s="4"/>
      <c r="AB22" s="4"/>
      <c r="AC22" s="4"/>
      <c r="AD22" s="4"/>
      <c r="AE22" s="4" t="str">
        <f t="shared" si="2"/>
        <v/>
      </c>
      <c r="AF22" s="4"/>
      <c r="AG22" s="4"/>
    </row>
    <row r="23" spans="1:3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 t="str">
        <f t="shared" si="0"/>
        <v/>
      </c>
      <c r="T23" s="4"/>
      <c r="U23" s="4"/>
      <c r="V23" s="4"/>
      <c r="W23" s="4"/>
      <c r="X23" s="4"/>
      <c r="Y23" s="4" t="str">
        <f t="shared" si="1"/>
        <v/>
      </c>
      <c r="Z23" s="4"/>
      <c r="AA23" s="4"/>
      <c r="AB23" s="4"/>
      <c r="AC23" s="4"/>
      <c r="AD23" s="4"/>
      <c r="AE23" s="4" t="str">
        <f t="shared" si="2"/>
        <v/>
      </c>
      <c r="AF23" s="4"/>
      <c r="AG23" s="4"/>
    </row>
    <row r="24" spans="1:3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 t="str">
        <f t="shared" si="0"/>
        <v/>
      </c>
      <c r="T24" s="4"/>
      <c r="U24" s="4"/>
      <c r="V24" s="4"/>
      <c r="W24" s="4"/>
      <c r="X24" s="4"/>
      <c r="Y24" s="4" t="str">
        <f t="shared" si="1"/>
        <v/>
      </c>
      <c r="Z24" s="4"/>
      <c r="AA24" s="4"/>
      <c r="AB24" s="4"/>
      <c r="AC24" s="4"/>
      <c r="AD24" s="4"/>
      <c r="AE24" s="4" t="str">
        <f t="shared" si="2"/>
        <v/>
      </c>
      <c r="AF24" s="4"/>
      <c r="AG24" s="4"/>
    </row>
    <row r="25" spans="1:3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 t="str">
        <f t="shared" si="0"/>
        <v/>
      </c>
      <c r="T25" s="4"/>
      <c r="U25" s="4"/>
      <c r="V25" s="4"/>
      <c r="W25" s="4"/>
      <c r="X25" s="4"/>
      <c r="Y25" s="4" t="str">
        <f t="shared" si="1"/>
        <v/>
      </c>
      <c r="Z25" s="4"/>
      <c r="AA25" s="4"/>
      <c r="AB25" s="4"/>
      <c r="AC25" s="4"/>
      <c r="AD25" s="4"/>
      <c r="AE25" s="4" t="str">
        <f t="shared" si="2"/>
        <v/>
      </c>
      <c r="AF25" s="4"/>
      <c r="AG25" s="4"/>
    </row>
    <row r="26" spans="1:3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 t="str">
        <f t="shared" si="0"/>
        <v/>
      </c>
      <c r="T26" s="4"/>
      <c r="U26" s="4"/>
      <c r="V26" s="4"/>
      <c r="W26" s="4"/>
      <c r="X26" s="4"/>
      <c r="Y26" s="4" t="str">
        <f t="shared" si="1"/>
        <v/>
      </c>
      <c r="Z26" s="4"/>
      <c r="AA26" s="4"/>
      <c r="AB26" s="4"/>
      <c r="AC26" s="4"/>
      <c r="AD26" s="4"/>
      <c r="AE26" s="4" t="str">
        <f t="shared" si="2"/>
        <v/>
      </c>
      <c r="AF26" s="4"/>
      <c r="AG26" s="4"/>
    </row>
    <row r="27" spans="1:3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 t="str">
        <f t="shared" si="0"/>
        <v/>
      </c>
      <c r="T27" s="4"/>
      <c r="U27" s="4"/>
      <c r="V27" s="4"/>
      <c r="W27" s="4"/>
      <c r="X27" s="4"/>
      <c r="Y27" s="4" t="str">
        <f t="shared" si="1"/>
        <v/>
      </c>
      <c r="Z27" s="4"/>
      <c r="AA27" s="4"/>
      <c r="AB27" s="4"/>
      <c r="AC27" s="4"/>
      <c r="AD27" s="4"/>
      <c r="AE27" s="4" t="str">
        <f t="shared" si="2"/>
        <v/>
      </c>
      <c r="AF27" s="4"/>
      <c r="AG27" s="4"/>
    </row>
    <row r="28" spans="1:3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 t="str">
        <f t="shared" si="0"/>
        <v/>
      </c>
      <c r="T28" s="4"/>
      <c r="U28" s="4"/>
      <c r="V28" s="4"/>
      <c r="W28" s="4"/>
      <c r="X28" s="4"/>
      <c r="Y28" s="4" t="str">
        <f t="shared" si="1"/>
        <v/>
      </c>
      <c r="Z28" s="4"/>
      <c r="AA28" s="4"/>
      <c r="AB28" s="4"/>
      <c r="AC28" s="4"/>
      <c r="AD28" s="4"/>
      <c r="AE28" s="4" t="str">
        <f t="shared" si="2"/>
        <v/>
      </c>
      <c r="AF28" s="4"/>
      <c r="AG28" s="4"/>
    </row>
    <row r="29" spans="1:3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tr">
        <f t="shared" si="0"/>
        <v/>
      </c>
      <c r="T29" s="4"/>
      <c r="U29" s="4"/>
      <c r="V29" s="4"/>
      <c r="W29" s="4"/>
      <c r="X29" s="4"/>
      <c r="Y29" s="4" t="str">
        <f t="shared" si="1"/>
        <v/>
      </c>
      <c r="Z29" s="4"/>
      <c r="AA29" s="4"/>
      <c r="AB29" s="4"/>
      <c r="AC29" s="4"/>
      <c r="AD29" s="4"/>
      <c r="AE29" s="4" t="str">
        <f t="shared" si="2"/>
        <v/>
      </c>
      <c r="AF29" s="4"/>
      <c r="AG29" s="4"/>
    </row>
    <row r="30" spans="1:3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 t="str">
        <f t="shared" si="0"/>
        <v/>
      </c>
      <c r="T30" s="4"/>
      <c r="U30" s="4"/>
      <c r="V30" s="4"/>
      <c r="W30" s="4"/>
      <c r="X30" s="4"/>
      <c r="Y30" s="4" t="str">
        <f t="shared" si="1"/>
        <v/>
      </c>
      <c r="Z30" s="4"/>
      <c r="AA30" s="4"/>
      <c r="AB30" s="4"/>
      <c r="AC30" s="4"/>
      <c r="AD30" s="4"/>
      <c r="AE30" s="4" t="str">
        <f t="shared" si="2"/>
        <v/>
      </c>
      <c r="AF30" s="4"/>
      <c r="AG30" s="4"/>
    </row>
    <row r="31" spans="1:3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 t="str">
        <f t="shared" si="0"/>
        <v/>
      </c>
      <c r="T31" s="4"/>
      <c r="U31" s="4"/>
      <c r="V31" s="4"/>
      <c r="W31" s="4"/>
      <c r="X31" s="4"/>
      <c r="Y31" s="4" t="str">
        <f t="shared" si="1"/>
        <v/>
      </c>
      <c r="Z31" s="4"/>
      <c r="AA31" s="4"/>
      <c r="AB31" s="4"/>
      <c r="AC31" s="4"/>
      <c r="AD31" s="4"/>
      <c r="AE31" s="4" t="str">
        <f t="shared" si="2"/>
        <v/>
      </c>
      <c r="AF31" s="4"/>
      <c r="AG31" s="4"/>
    </row>
    <row r="32" spans="1:3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 t="str">
        <f t="shared" si="0"/>
        <v/>
      </c>
      <c r="T32" s="4"/>
      <c r="U32" s="4"/>
      <c r="V32" s="4"/>
      <c r="W32" s="4"/>
      <c r="X32" s="4"/>
      <c r="Y32" s="4" t="str">
        <f t="shared" si="1"/>
        <v/>
      </c>
      <c r="Z32" s="4"/>
      <c r="AA32" s="4"/>
      <c r="AB32" s="4"/>
      <c r="AC32" s="4"/>
      <c r="AD32" s="4"/>
      <c r="AE32" s="4" t="str">
        <f t="shared" si="2"/>
        <v/>
      </c>
      <c r="AF32" s="4"/>
      <c r="AG32" s="4"/>
    </row>
    <row r="33" spans="1: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str">
        <f t="shared" si="0"/>
        <v/>
      </c>
      <c r="T33" s="4"/>
      <c r="U33" s="4"/>
      <c r="V33" s="4"/>
      <c r="W33" s="4"/>
      <c r="X33" s="4"/>
      <c r="Y33" s="4" t="str">
        <f t="shared" si="1"/>
        <v/>
      </c>
      <c r="Z33" s="4"/>
      <c r="AA33" s="4"/>
      <c r="AB33" s="4"/>
      <c r="AC33" s="4"/>
      <c r="AD33" s="4"/>
      <c r="AE33" s="4" t="str">
        <f t="shared" si="2"/>
        <v/>
      </c>
      <c r="AF33" s="4"/>
      <c r="AG33" s="4"/>
    </row>
    <row r="34" spans="1:3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 t="str">
        <f t="shared" ref="S34:S65" si="3">IFERROR(AVERAGE(C34:R34),"")</f>
        <v/>
      </c>
      <c r="T34" s="4"/>
      <c r="U34" s="4"/>
      <c r="V34" s="4"/>
      <c r="W34" s="4"/>
      <c r="X34" s="4"/>
      <c r="Y34" s="4" t="str">
        <f t="shared" ref="Y34:Y65" si="4">IF(COUNTA(T34:X34)=0,"",SUM(T34:X34))</f>
        <v/>
      </c>
      <c r="Z34" s="4"/>
      <c r="AA34" s="4"/>
      <c r="AB34" s="4"/>
      <c r="AC34" s="4"/>
      <c r="AD34" s="4"/>
      <c r="AE34" s="4" t="str">
        <f t="shared" ref="AE34:AE65" si="5">IFERROR(AVERAGE(Z34:AD34),"")</f>
        <v/>
      </c>
      <c r="AF34" s="4"/>
      <c r="AG34" s="4"/>
    </row>
    <row r="35" spans="1:3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 t="str">
        <f t="shared" si="3"/>
        <v/>
      </c>
      <c r="T35" s="4"/>
      <c r="U35" s="4"/>
      <c r="V35" s="4"/>
      <c r="W35" s="4"/>
      <c r="X35" s="4"/>
      <c r="Y35" s="4" t="str">
        <f t="shared" si="4"/>
        <v/>
      </c>
      <c r="Z35" s="4"/>
      <c r="AA35" s="4"/>
      <c r="AB35" s="4"/>
      <c r="AC35" s="4"/>
      <c r="AD35" s="4"/>
      <c r="AE35" s="4" t="str">
        <f t="shared" si="5"/>
        <v/>
      </c>
      <c r="AF35" s="4"/>
      <c r="AG35" s="4"/>
    </row>
    <row r="36" spans="1:3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 t="str">
        <f t="shared" si="3"/>
        <v/>
      </c>
      <c r="T36" s="4"/>
      <c r="U36" s="4"/>
      <c r="V36" s="4"/>
      <c r="W36" s="4"/>
      <c r="X36" s="4"/>
      <c r="Y36" s="4" t="str">
        <f t="shared" si="4"/>
        <v/>
      </c>
      <c r="Z36" s="4"/>
      <c r="AA36" s="4"/>
      <c r="AB36" s="4"/>
      <c r="AC36" s="4"/>
      <c r="AD36" s="4"/>
      <c r="AE36" s="4" t="str">
        <f t="shared" si="5"/>
        <v/>
      </c>
      <c r="AF36" s="4"/>
      <c r="AG36" s="4"/>
    </row>
    <row r="37" spans="1:3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 t="str">
        <f t="shared" si="3"/>
        <v/>
      </c>
      <c r="T37" s="4"/>
      <c r="U37" s="4"/>
      <c r="V37" s="4"/>
      <c r="W37" s="4"/>
      <c r="X37" s="4"/>
      <c r="Y37" s="4" t="str">
        <f t="shared" si="4"/>
        <v/>
      </c>
      <c r="Z37" s="4"/>
      <c r="AA37" s="4"/>
      <c r="AB37" s="4"/>
      <c r="AC37" s="4"/>
      <c r="AD37" s="4"/>
      <c r="AE37" s="4" t="str">
        <f t="shared" si="5"/>
        <v/>
      </c>
      <c r="AF37" s="4"/>
      <c r="AG37" s="4"/>
    </row>
    <row r="38" spans="1:3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 t="str">
        <f t="shared" si="3"/>
        <v/>
      </c>
      <c r="T38" s="4"/>
      <c r="U38" s="4"/>
      <c r="V38" s="4"/>
      <c r="W38" s="4"/>
      <c r="X38" s="4"/>
      <c r="Y38" s="4" t="str">
        <f t="shared" si="4"/>
        <v/>
      </c>
      <c r="Z38" s="4"/>
      <c r="AA38" s="4"/>
      <c r="AB38" s="4"/>
      <c r="AC38" s="4"/>
      <c r="AD38" s="4"/>
      <c r="AE38" s="4" t="str">
        <f t="shared" si="5"/>
        <v/>
      </c>
      <c r="AF38" s="4"/>
      <c r="AG38" s="4"/>
    </row>
    <row r="39" spans="1:3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 t="str">
        <f t="shared" si="3"/>
        <v/>
      </c>
      <c r="T39" s="4"/>
      <c r="U39" s="4"/>
      <c r="V39" s="4"/>
      <c r="W39" s="4"/>
      <c r="X39" s="4"/>
      <c r="Y39" s="4" t="str">
        <f t="shared" si="4"/>
        <v/>
      </c>
      <c r="Z39" s="4"/>
      <c r="AA39" s="4"/>
      <c r="AB39" s="4"/>
      <c r="AC39" s="4"/>
      <c r="AD39" s="4"/>
      <c r="AE39" s="4" t="str">
        <f t="shared" si="5"/>
        <v/>
      </c>
      <c r="AF39" s="4"/>
      <c r="AG39" s="4"/>
    </row>
    <row r="40" spans="1:3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 t="str">
        <f t="shared" si="3"/>
        <v/>
      </c>
      <c r="T40" s="4"/>
      <c r="U40" s="4"/>
      <c r="V40" s="4"/>
      <c r="W40" s="4"/>
      <c r="X40" s="4"/>
      <c r="Y40" s="4" t="str">
        <f t="shared" si="4"/>
        <v/>
      </c>
      <c r="Z40" s="4"/>
      <c r="AA40" s="4"/>
      <c r="AB40" s="4"/>
      <c r="AC40" s="4"/>
      <c r="AD40" s="4"/>
      <c r="AE40" s="4" t="str">
        <f t="shared" si="5"/>
        <v/>
      </c>
      <c r="AF40" s="4"/>
      <c r="AG40" s="4"/>
    </row>
    <row r="41" spans="1:3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 t="str">
        <f t="shared" si="3"/>
        <v/>
      </c>
      <c r="T41" s="4"/>
      <c r="U41" s="4"/>
      <c r="V41" s="4"/>
      <c r="W41" s="4"/>
      <c r="X41" s="4"/>
      <c r="Y41" s="4" t="str">
        <f t="shared" si="4"/>
        <v/>
      </c>
      <c r="Z41" s="4"/>
      <c r="AA41" s="4"/>
      <c r="AB41" s="4"/>
      <c r="AC41" s="4"/>
      <c r="AD41" s="4"/>
      <c r="AE41" s="4" t="str">
        <f t="shared" si="5"/>
        <v/>
      </c>
      <c r="AF41" s="4"/>
      <c r="AG41" s="4"/>
    </row>
    <row r="42" spans="1:3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 t="str">
        <f t="shared" si="3"/>
        <v/>
      </c>
      <c r="T42" s="4"/>
      <c r="U42" s="4"/>
      <c r="V42" s="4"/>
      <c r="W42" s="4"/>
      <c r="X42" s="4"/>
      <c r="Y42" s="4" t="str">
        <f t="shared" si="4"/>
        <v/>
      </c>
      <c r="Z42" s="4"/>
      <c r="AA42" s="4"/>
      <c r="AB42" s="4"/>
      <c r="AC42" s="4"/>
      <c r="AD42" s="4"/>
      <c r="AE42" s="4" t="str">
        <f t="shared" si="5"/>
        <v/>
      </c>
      <c r="AF42" s="4"/>
      <c r="AG42" s="4"/>
    </row>
    <row r="43" spans="1:3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 t="str">
        <f t="shared" si="3"/>
        <v/>
      </c>
      <c r="T43" s="4"/>
      <c r="U43" s="4"/>
      <c r="V43" s="4"/>
      <c r="W43" s="4"/>
      <c r="X43" s="4"/>
      <c r="Y43" s="4" t="str">
        <f t="shared" si="4"/>
        <v/>
      </c>
      <c r="Z43" s="4"/>
      <c r="AA43" s="4"/>
      <c r="AB43" s="4"/>
      <c r="AC43" s="4"/>
      <c r="AD43" s="4"/>
      <c r="AE43" s="4" t="str">
        <f t="shared" si="5"/>
        <v/>
      </c>
      <c r="AF43" s="4"/>
      <c r="AG43" s="4"/>
    </row>
    <row r="44" spans="1:3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 t="str">
        <f t="shared" si="3"/>
        <v/>
      </c>
      <c r="T44" s="4"/>
      <c r="U44" s="4"/>
      <c r="V44" s="4"/>
      <c r="W44" s="4"/>
      <c r="X44" s="4"/>
      <c r="Y44" s="4" t="str">
        <f t="shared" si="4"/>
        <v/>
      </c>
      <c r="Z44" s="4"/>
      <c r="AA44" s="4"/>
      <c r="AB44" s="4"/>
      <c r="AC44" s="4"/>
      <c r="AD44" s="4"/>
      <c r="AE44" s="4" t="str">
        <f t="shared" si="5"/>
        <v/>
      </c>
      <c r="AF44" s="4"/>
      <c r="AG44" s="4"/>
    </row>
    <row r="45" spans="1:3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str">
        <f t="shared" si="3"/>
        <v/>
      </c>
      <c r="T45" s="4"/>
      <c r="U45" s="4"/>
      <c r="V45" s="4"/>
      <c r="W45" s="4"/>
      <c r="X45" s="4"/>
      <c r="Y45" s="4" t="str">
        <f t="shared" si="4"/>
        <v/>
      </c>
      <c r="Z45" s="4"/>
      <c r="AA45" s="4"/>
      <c r="AB45" s="4"/>
      <c r="AC45" s="4"/>
      <c r="AD45" s="4"/>
      <c r="AE45" s="4" t="str">
        <f t="shared" si="5"/>
        <v/>
      </c>
      <c r="AF45" s="4"/>
      <c r="AG45" s="4"/>
    </row>
    <row r="46" spans="1:3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 t="str">
        <f t="shared" si="3"/>
        <v/>
      </c>
      <c r="T46" s="4"/>
      <c r="U46" s="4"/>
      <c r="V46" s="4"/>
      <c r="W46" s="4"/>
      <c r="X46" s="4"/>
      <c r="Y46" s="4" t="str">
        <f t="shared" si="4"/>
        <v/>
      </c>
      <c r="Z46" s="4"/>
      <c r="AA46" s="4"/>
      <c r="AB46" s="4"/>
      <c r="AC46" s="4"/>
      <c r="AD46" s="4"/>
      <c r="AE46" s="4" t="str">
        <f t="shared" si="5"/>
        <v/>
      </c>
      <c r="AF46" s="4"/>
      <c r="AG46" s="4"/>
    </row>
    <row r="47" spans="1:3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 t="str">
        <f t="shared" si="3"/>
        <v/>
      </c>
      <c r="T47" s="4"/>
      <c r="U47" s="4"/>
      <c r="V47" s="4"/>
      <c r="W47" s="4"/>
      <c r="X47" s="4"/>
      <c r="Y47" s="4" t="str">
        <f t="shared" si="4"/>
        <v/>
      </c>
      <c r="Z47" s="4"/>
      <c r="AA47" s="4"/>
      <c r="AB47" s="4"/>
      <c r="AC47" s="4"/>
      <c r="AD47" s="4"/>
      <c r="AE47" s="4" t="str">
        <f t="shared" si="5"/>
        <v/>
      </c>
      <c r="AF47" s="4"/>
      <c r="AG47" s="4"/>
    </row>
    <row r="48" spans="1:3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 t="str">
        <f t="shared" si="3"/>
        <v/>
      </c>
      <c r="T48" s="4"/>
      <c r="U48" s="4"/>
      <c r="V48" s="4"/>
      <c r="W48" s="4"/>
      <c r="X48" s="4"/>
      <c r="Y48" s="4" t="str">
        <f t="shared" si="4"/>
        <v/>
      </c>
      <c r="Z48" s="4"/>
      <c r="AA48" s="4"/>
      <c r="AB48" s="4"/>
      <c r="AC48" s="4"/>
      <c r="AD48" s="4"/>
      <c r="AE48" s="4" t="str">
        <f t="shared" si="5"/>
        <v/>
      </c>
      <c r="AF48" s="4"/>
      <c r="AG48" s="4"/>
    </row>
    <row r="49" spans="1:3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 t="str">
        <f t="shared" si="3"/>
        <v/>
      </c>
      <c r="T49" s="4"/>
      <c r="U49" s="4"/>
      <c r="V49" s="4"/>
      <c r="W49" s="4"/>
      <c r="X49" s="4"/>
      <c r="Y49" s="4" t="str">
        <f t="shared" si="4"/>
        <v/>
      </c>
      <c r="Z49" s="4"/>
      <c r="AA49" s="4"/>
      <c r="AB49" s="4"/>
      <c r="AC49" s="4"/>
      <c r="AD49" s="4"/>
      <c r="AE49" s="4" t="str">
        <f t="shared" si="5"/>
        <v/>
      </c>
      <c r="AF49" s="4"/>
      <c r="AG49" s="4"/>
    </row>
    <row r="50" spans="1:3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 t="str">
        <f t="shared" si="3"/>
        <v/>
      </c>
      <c r="T50" s="4"/>
      <c r="U50" s="4"/>
      <c r="V50" s="4"/>
      <c r="W50" s="4"/>
      <c r="X50" s="4"/>
      <c r="Y50" s="4" t="str">
        <f t="shared" si="4"/>
        <v/>
      </c>
      <c r="Z50" s="4"/>
      <c r="AA50" s="4"/>
      <c r="AB50" s="4"/>
      <c r="AC50" s="4"/>
      <c r="AD50" s="4"/>
      <c r="AE50" s="4" t="str">
        <f t="shared" si="5"/>
        <v/>
      </c>
      <c r="AF50" s="4"/>
      <c r="AG50" s="4"/>
    </row>
    <row r="51" spans="1:3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 t="str">
        <f t="shared" si="3"/>
        <v/>
      </c>
      <c r="T51" s="4"/>
      <c r="U51" s="4"/>
      <c r="V51" s="4"/>
      <c r="W51" s="4"/>
      <c r="X51" s="4"/>
      <c r="Y51" s="4" t="str">
        <f t="shared" si="4"/>
        <v/>
      </c>
      <c r="Z51" s="4"/>
      <c r="AA51" s="4"/>
      <c r="AB51" s="4"/>
      <c r="AC51" s="4"/>
      <c r="AD51" s="4"/>
      <c r="AE51" s="4" t="str">
        <f t="shared" si="5"/>
        <v/>
      </c>
      <c r="AF51" s="4"/>
      <c r="AG51" s="4"/>
    </row>
    <row r="52" spans="1:3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 t="str">
        <f t="shared" si="3"/>
        <v/>
      </c>
      <c r="T52" s="4"/>
      <c r="U52" s="4"/>
      <c r="V52" s="4"/>
      <c r="W52" s="4"/>
      <c r="X52" s="4"/>
      <c r="Y52" s="4" t="str">
        <f t="shared" si="4"/>
        <v/>
      </c>
      <c r="Z52" s="4"/>
      <c r="AA52" s="4"/>
      <c r="AB52" s="4"/>
      <c r="AC52" s="4"/>
      <c r="AD52" s="4"/>
      <c r="AE52" s="4" t="str">
        <f t="shared" si="5"/>
        <v/>
      </c>
      <c r="AF52" s="4"/>
      <c r="AG52" s="4"/>
    </row>
    <row r="53" spans="1:3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 t="str">
        <f t="shared" si="3"/>
        <v/>
      </c>
      <c r="T53" s="4"/>
      <c r="U53" s="4"/>
      <c r="V53" s="4"/>
      <c r="W53" s="4"/>
      <c r="X53" s="4"/>
      <c r="Y53" s="4" t="str">
        <f t="shared" si="4"/>
        <v/>
      </c>
      <c r="Z53" s="4"/>
      <c r="AA53" s="4"/>
      <c r="AB53" s="4"/>
      <c r="AC53" s="4"/>
      <c r="AD53" s="4"/>
      <c r="AE53" s="4" t="str">
        <f t="shared" si="5"/>
        <v/>
      </c>
      <c r="AF53" s="4"/>
      <c r="AG53" s="4"/>
    </row>
    <row r="54" spans="1:3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 t="str">
        <f t="shared" si="3"/>
        <v/>
      </c>
      <c r="T54" s="4"/>
      <c r="U54" s="4"/>
      <c r="V54" s="4"/>
      <c r="W54" s="4"/>
      <c r="X54" s="4"/>
      <c r="Y54" s="4" t="str">
        <f t="shared" si="4"/>
        <v/>
      </c>
      <c r="Z54" s="4"/>
      <c r="AA54" s="4"/>
      <c r="AB54" s="4"/>
      <c r="AC54" s="4"/>
      <c r="AD54" s="4"/>
      <c r="AE54" s="4" t="str">
        <f t="shared" si="5"/>
        <v/>
      </c>
      <c r="AF54" s="4"/>
      <c r="AG54" s="4"/>
    </row>
    <row r="55" spans="1:3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 t="str">
        <f t="shared" si="3"/>
        <v/>
      </c>
      <c r="T55" s="4"/>
      <c r="U55" s="4"/>
      <c r="V55" s="4"/>
      <c r="W55" s="4"/>
      <c r="X55" s="4"/>
      <c r="Y55" s="4" t="str">
        <f t="shared" si="4"/>
        <v/>
      </c>
      <c r="Z55" s="4"/>
      <c r="AA55" s="4"/>
      <c r="AB55" s="4"/>
      <c r="AC55" s="4"/>
      <c r="AD55" s="4"/>
      <c r="AE55" s="4" t="str">
        <f t="shared" si="5"/>
        <v/>
      </c>
      <c r="AF55" s="4"/>
      <c r="AG55" s="4"/>
    </row>
    <row r="56" spans="1:3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 t="str">
        <f t="shared" si="3"/>
        <v/>
      </c>
      <c r="T56" s="4"/>
      <c r="U56" s="4"/>
      <c r="V56" s="4"/>
      <c r="W56" s="4"/>
      <c r="X56" s="4"/>
      <c r="Y56" s="4" t="str">
        <f t="shared" si="4"/>
        <v/>
      </c>
      <c r="Z56" s="4"/>
      <c r="AA56" s="4"/>
      <c r="AB56" s="4"/>
      <c r="AC56" s="4"/>
      <c r="AD56" s="4"/>
      <c r="AE56" s="4" t="str">
        <f t="shared" si="5"/>
        <v/>
      </c>
      <c r="AF56" s="4"/>
      <c r="AG56" s="4"/>
    </row>
    <row r="57" spans="1:3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 t="str">
        <f t="shared" si="3"/>
        <v/>
      </c>
      <c r="T57" s="4"/>
      <c r="U57" s="4"/>
      <c r="V57" s="4"/>
      <c r="W57" s="4"/>
      <c r="X57" s="4"/>
      <c r="Y57" s="4" t="str">
        <f t="shared" si="4"/>
        <v/>
      </c>
      <c r="Z57" s="4"/>
      <c r="AA57" s="4"/>
      <c r="AB57" s="4"/>
      <c r="AC57" s="4"/>
      <c r="AD57" s="4"/>
      <c r="AE57" s="4" t="str">
        <f t="shared" si="5"/>
        <v/>
      </c>
      <c r="AF57" s="4"/>
      <c r="AG57" s="4"/>
    </row>
    <row r="58" spans="1:3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 t="str">
        <f t="shared" si="3"/>
        <v/>
      </c>
      <c r="T58" s="4"/>
      <c r="U58" s="4"/>
      <c r="V58" s="4"/>
      <c r="W58" s="4"/>
      <c r="X58" s="4"/>
      <c r="Y58" s="4" t="str">
        <f t="shared" si="4"/>
        <v/>
      </c>
      <c r="Z58" s="4"/>
      <c r="AA58" s="4"/>
      <c r="AB58" s="4"/>
      <c r="AC58" s="4"/>
      <c r="AD58" s="4"/>
      <c r="AE58" s="4" t="str">
        <f t="shared" si="5"/>
        <v/>
      </c>
      <c r="AF58" s="4"/>
      <c r="AG58" s="4"/>
    </row>
    <row r="59" spans="1:3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 t="str">
        <f t="shared" si="3"/>
        <v/>
      </c>
      <c r="T59" s="4"/>
      <c r="U59" s="4"/>
      <c r="V59" s="4"/>
      <c r="W59" s="4"/>
      <c r="X59" s="4"/>
      <c r="Y59" s="4" t="str">
        <f t="shared" si="4"/>
        <v/>
      </c>
      <c r="Z59" s="4"/>
      <c r="AA59" s="4"/>
      <c r="AB59" s="4"/>
      <c r="AC59" s="4"/>
      <c r="AD59" s="4"/>
      <c r="AE59" s="4" t="str">
        <f t="shared" si="5"/>
        <v/>
      </c>
      <c r="AF59" s="4"/>
      <c r="AG59" s="4"/>
    </row>
    <row r="60" spans="1:3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 t="str">
        <f t="shared" si="3"/>
        <v/>
      </c>
      <c r="T60" s="4"/>
      <c r="U60" s="4"/>
      <c r="V60" s="4"/>
      <c r="W60" s="4"/>
      <c r="X60" s="4"/>
      <c r="Y60" s="4" t="str">
        <f t="shared" si="4"/>
        <v/>
      </c>
      <c r="Z60" s="4"/>
      <c r="AA60" s="4"/>
      <c r="AB60" s="4"/>
      <c r="AC60" s="4"/>
      <c r="AD60" s="4"/>
      <c r="AE60" s="4" t="str">
        <f t="shared" si="5"/>
        <v/>
      </c>
      <c r="AF60" s="4"/>
      <c r="AG60" s="4"/>
    </row>
    <row r="61" spans="1:3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 t="str">
        <f t="shared" si="3"/>
        <v/>
      </c>
      <c r="T61" s="4"/>
      <c r="U61" s="4"/>
      <c r="V61" s="4"/>
      <c r="W61" s="4"/>
      <c r="X61" s="4"/>
      <c r="Y61" s="4" t="str">
        <f t="shared" si="4"/>
        <v/>
      </c>
      <c r="Z61" s="4"/>
      <c r="AA61" s="4"/>
      <c r="AB61" s="4"/>
      <c r="AC61" s="4"/>
      <c r="AD61" s="4"/>
      <c r="AE61" s="4" t="str">
        <f t="shared" si="5"/>
        <v/>
      </c>
      <c r="AF61" s="4"/>
      <c r="AG61" s="4"/>
    </row>
    <row r="62" spans="1:3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 t="str">
        <f t="shared" si="3"/>
        <v/>
      </c>
      <c r="T62" s="4"/>
      <c r="U62" s="4"/>
      <c r="V62" s="4"/>
      <c r="W62" s="4"/>
      <c r="X62" s="4"/>
      <c r="Y62" s="4" t="str">
        <f t="shared" si="4"/>
        <v/>
      </c>
      <c r="Z62" s="4"/>
      <c r="AA62" s="4"/>
      <c r="AB62" s="4"/>
      <c r="AC62" s="4"/>
      <c r="AD62" s="4"/>
      <c r="AE62" s="4" t="str">
        <f t="shared" si="5"/>
        <v/>
      </c>
      <c r="AF62" s="4"/>
      <c r="AG62" s="4"/>
    </row>
    <row r="63" spans="1:3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 t="str">
        <f t="shared" si="3"/>
        <v/>
      </c>
      <c r="T63" s="4"/>
      <c r="U63" s="4"/>
      <c r="V63" s="4"/>
      <c r="W63" s="4"/>
      <c r="X63" s="4"/>
      <c r="Y63" s="4" t="str">
        <f t="shared" si="4"/>
        <v/>
      </c>
      <c r="Z63" s="4"/>
      <c r="AA63" s="4"/>
      <c r="AB63" s="4"/>
      <c r="AC63" s="4"/>
      <c r="AD63" s="4"/>
      <c r="AE63" s="4" t="str">
        <f t="shared" si="5"/>
        <v/>
      </c>
      <c r="AF63" s="4"/>
      <c r="AG63" s="4"/>
    </row>
    <row r="64" spans="1:3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 t="str">
        <f t="shared" si="3"/>
        <v/>
      </c>
      <c r="T64" s="4"/>
      <c r="U64" s="4"/>
      <c r="V64" s="4"/>
      <c r="W64" s="4"/>
      <c r="X64" s="4"/>
      <c r="Y64" s="4" t="str">
        <f t="shared" si="4"/>
        <v/>
      </c>
      <c r="Z64" s="4"/>
      <c r="AA64" s="4"/>
      <c r="AB64" s="4"/>
      <c r="AC64" s="4"/>
      <c r="AD64" s="4"/>
      <c r="AE64" s="4" t="str">
        <f t="shared" si="5"/>
        <v/>
      </c>
      <c r="AF64" s="4"/>
      <c r="AG64" s="4"/>
    </row>
    <row r="65" spans="1:3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 t="str">
        <f t="shared" si="3"/>
        <v/>
      </c>
      <c r="T65" s="4"/>
      <c r="U65" s="4"/>
      <c r="V65" s="4"/>
      <c r="W65" s="4"/>
      <c r="X65" s="4"/>
      <c r="Y65" s="4" t="str">
        <f t="shared" si="4"/>
        <v/>
      </c>
      <c r="Z65" s="4"/>
      <c r="AA65" s="4"/>
      <c r="AB65" s="4"/>
      <c r="AC65" s="4"/>
      <c r="AD65" s="4"/>
      <c r="AE65" s="4" t="str">
        <f t="shared" si="5"/>
        <v/>
      </c>
      <c r="AF65" s="4"/>
      <c r="AG65" s="4"/>
    </row>
    <row r="66" spans="1:3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 t="str">
        <f t="shared" ref="S66:S97" si="6">IFERROR(AVERAGE(C66:R66),"")</f>
        <v/>
      </c>
      <c r="T66" s="4"/>
      <c r="U66" s="4"/>
      <c r="V66" s="4"/>
      <c r="W66" s="4"/>
      <c r="X66" s="4"/>
      <c r="Y66" s="4" t="str">
        <f t="shared" ref="Y66:Y97" si="7">IF(COUNTA(T66:X66)=0,"",SUM(T66:X66))</f>
        <v/>
      </c>
      <c r="Z66" s="4"/>
      <c r="AA66" s="4"/>
      <c r="AB66" s="4"/>
      <c r="AC66" s="4"/>
      <c r="AD66" s="4"/>
      <c r="AE66" s="4" t="str">
        <f t="shared" ref="AE66:AE97" si="8">IFERROR(AVERAGE(Z66:AD66),"")</f>
        <v/>
      </c>
      <c r="AF66" s="4"/>
      <c r="AG66" s="4"/>
    </row>
    <row r="67" spans="1:3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 t="str">
        <f t="shared" si="6"/>
        <v/>
      </c>
      <c r="T67" s="4"/>
      <c r="U67" s="4"/>
      <c r="V67" s="4"/>
      <c r="W67" s="4"/>
      <c r="X67" s="4"/>
      <c r="Y67" s="4" t="str">
        <f t="shared" si="7"/>
        <v/>
      </c>
      <c r="Z67" s="4"/>
      <c r="AA67" s="4"/>
      <c r="AB67" s="4"/>
      <c r="AC67" s="4"/>
      <c r="AD67" s="4"/>
      <c r="AE67" s="4" t="str">
        <f t="shared" si="8"/>
        <v/>
      </c>
      <c r="AF67" s="4"/>
      <c r="AG67" s="4"/>
    </row>
    <row r="68" spans="1:3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 t="str">
        <f t="shared" si="6"/>
        <v/>
      </c>
      <c r="T68" s="4"/>
      <c r="U68" s="4"/>
      <c r="V68" s="4"/>
      <c r="W68" s="4"/>
      <c r="X68" s="4"/>
      <c r="Y68" s="4" t="str">
        <f t="shared" si="7"/>
        <v/>
      </c>
      <c r="Z68" s="4"/>
      <c r="AA68" s="4"/>
      <c r="AB68" s="4"/>
      <c r="AC68" s="4"/>
      <c r="AD68" s="4"/>
      <c r="AE68" s="4" t="str">
        <f t="shared" si="8"/>
        <v/>
      </c>
      <c r="AF68" s="4"/>
      <c r="AG68" s="4"/>
    </row>
    <row r="69" spans="1:3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 t="str">
        <f t="shared" si="6"/>
        <v/>
      </c>
      <c r="T69" s="4"/>
      <c r="U69" s="4"/>
      <c r="V69" s="4"/>
      <c r="W69" s="4"/>
      <c r="X69" s="4"/>
      <c r="Y69" s="4" t="str">
        <f t="shared" si="7"/>
        <v/>
      </c>
      <c r="Z69" s="4"/>
      <c r="AA69" s="4"/>
      <c r="AB69" s="4"/>
      <c r="AC69" s="4"/>
      <c r="AD69" s="4"/>
      <c r="AE69" s="4" t="str">
        <f t="shared" si="8"/>
        <v/>
      </c>
      <c r="AF69" s="4"/>
      <c r="AG69" s="4"/>
    </row>
    <row r="70" spans="1:3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 t="str">
        <f t="shared" si="6"/>
        <v/>
      </c>
      <c r="T70" s="4"/>
      <c r="U70" s="4"/>
      <c r="V70" s="4"/>
      <c r="W70" s="4"/>
      <c r="X70" s="4"/>
      <c r="Y70" s="4" t="str">
        <f t="shared" si="7"/>
        <v/>
      </c>
      <c r="Z70" s="4"/>
      <c r="AA70" s="4"/>
      <c r="AB70" s="4"/>
      <c r="AC70" s="4"/>
      <c r="AD70" s="4"/>
      <c r="AE70" s="4" t="str">
        <f t="shared" si="8"/>
        <v/>
      </c>
      <c r="AF70" s="4"/>
      <c r="AG70" s="4"/>
    </row>
    <row r="71" spans="1:3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 t="str">
        <f t="shared" si="6"/>
        <v/>
      </c>
      <c r="T71" s="4"/>
      <c r="U71" s="4"/>
      <c r="V71" s="4"/>
      <c r="W71" s="4"/>
      <c r="X71" s="4"/>
      <c r="Y71" s="4" t="str">
        <f t="shared" si="7"/>
        <v/>
      </c>
      <c r="Z71" s="4"/>
      <c r="AA71" s="4"/>
      <c r="AB71" s="4"/>
      <c r="AC71" s="4"/>
      <c r="AD71" s="4"/>
      <c r="AE71" s="4" t="str">
        <f t="shared" si="8"/>
        <v/>
      </c>
      <c r="AF71" s="4"/>
      <c r="AG71" s="4"/>
    </row>
    <row r="72" spans="1:3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 t="str">
        <f t="shared" si="6"/>
        <v/>
      </c>
      <c r="T72" s="4"/>
      <c r="U72" s="4"/>
      <c r="V72" s="4"/>
      <c r="W72" s="4"/>
      <c r="X72" s="4"/>
      <c r="Y72" s="4" t="str">
        <f t="shared" si="7"/>
        <v/>
      </c>
      <c r="Z72" s="4"/>
      <c r="AA72" s="4"/>
      <c r="AB72" s="4"/>
      <c r="AC72" s="4"/>
      <c r="AD72" s="4"/>
      <c r="AE72" s="4" t="str">
        <f t="shared" si="8"/>
        <v/>
      </c>
      <c r="AF72" s="4"/>
      <c r="AG72" s="4"/>
    </row>
    <row r="73" spans="1:3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 t="str">
        <f t="shared" si="6"/>
        <v/>
      </c>
      <c r="T73" s="4"/>
      <c r="U73" s="4"/>
      <c r="V73" s="4"/>
      <c r="W73" s="4"/>
      <c r="X73" s="4"/>
      <c r="Y73" s="4" t="str">
        <f t="shared" si="7"/>
        <v/>
      </c>
      <c r="Z73" s="4"/>
      <c r="AA73" s="4"/>
      <c r="AB73" s="4"/>
      <c r="AC73" s="4"/>
      <c r="AD73" s="4"/>
      <c r="AE73" s="4" t="str">
        <f t="shared" si="8"/>
        <v/>
      </c>
      <c r="AF73" s="4"/>
      <c r="AG73" s="4"/>
    </row>
    <row r="74" spans="1:3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 t="str">
        <f t="shared" si="6"/>
        <v/>
      </c>
      <c r="T74" s="4"/>
      <c r="U74" s="4"/>
      <c r="V74" s="4"/>
      <c r="W74" s="4"/>
      <c r="X74" s="4"/>
      <c r="Y74" s="4" t="str">
        <f t="shared" si="7"/>
        <v/>
      </c>
      <c r="Z74" s="4"/>
      <c r="AA74" s="4"/>
      <c r="AB74" s="4"/>
      <c r="AC74" s="4"/>
      <c r="AD74" s="4"/>
      <c r="AE74" s="4" t="str">
        <f t="shared" si="8"/>
        <v/>
      </c>
      <c r="AF74" s="4"/>
      <c r="AG74" s="4"/>
    </row>
    <row r="75" spans="1:3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 t="str">
        <f t="shared" si="6"/>
        <v/>
      </c>
      <c r="T75" s="4"/>
      <c r="U75" s="4"/>
      <c r="V75" s="4"/>
      <c r="W75" s="4"/>
      <c r="X75" s="4"/>
      <c r="Y75" s="4" t="str">
        <f t="shared" si="7"/>
        <v/>
      </c>
      <c r="Z75" s="4"/>
      <c r="AA75" s="4"/>
      <c r="AB75" s="4"/>
      <c r="AC75" s="4"/>
      <c r="AD75" s="4"/>
      <c r="AE75" s="4" t="str">
        <f t="shared" si="8"/>
        <v/>
      </c>
      <c r="AF75" s="4"/>
      <c r="AG75" s="4"/>
    </row>
    <row r="76" spans="1:3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 t="str">
        <f t="shared" si="6"/>
        <v/>
      </c>
      <c r="T76" s="4"/>
      <c r="U76" s="4"/>
      <c r="V76" s="4"/>
      <c r="W76" s="4"/>
      <c r="X76" s="4"/>
      <c r="Y76" s="4" t="str">
        <f t="shared" si="7"/>
        <v/>
      </c>
      <c r="Z76" s="4"/>
      <c r="AA76" s="4"/>
      <c r="AB76" s="4"/>
      <c r="AC76" s="4"/>
      <c r="AD76" s="4"/>
      <c r="AE76" s="4" t="str">
        <f t="shared" si="8"/>
        <v/>
      </c>
      <c r="AF76" s="4"/>
      <c r="AG76" s="4"/>
    </row>
    <row r="77" spans="1:3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 t="str">
        <f t="shared" si="6"/>
        <v/>
      </c>
      <c r="T77" s="4"/>
      <c r="U77" s="4"/>
      <c r="V77" s="4"/>
      <c r="W77" s="4"/>
      <c r="X77" s="4"/>
      <c r="Y77" s="4" t="str">
        <f t="shared" si="7"/>
        <v/>
      </c>
      <c r="Z77" s="4"/>
      <c r="AA77" s="4"/>
      <c r="AB77" s="4"/>
      <c r="AC77" s="4"/>
      <c r="AD77" s="4"/>
      <c r="AE77" s="4" t="str">
        <f t="shared" si="8"/>
        <v/>
      </c>
      <c r="AF77" s="4"/>
      <c r="AG77" s="4"/>
    </row>
    <row r="78" spans="1:3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 t="str">
        <f t="shared" si="6"/>
        <v/>
      </c>
      <c r="T78" s="4"/>
      <c r="U78" s="4"/>
      <c r="V78" s="4"/>
      <c r="W78" s="4"/>
      <c r="X78" s="4"/>
      <c r="Y78" s="4" t="str">
        <f t="shared" si="7"/>
        <v/>
      </c>
      <c r="Z78" s="4"/>
      <c r="AA78" s="4"/>
      <c r="AB78" s="4"/>
      <c r="AC78" s="4"/>
      <c r="AD78" s="4"/>
      <c r="AE78" s="4" t="str">
        <f t="shared" si="8"/>
        <v/>
      </c>
      <c r="AF78" s="4"/>
      <c r="AG78" s="4"/>
    </row>
    <row r="79" spans="1:3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 t="str">
        <f t="shared" si="6"/>
        <v/>
      </c>
      <c r="T79" s="4"/>
      <c r="U79" s="4"/>
      <c r="V79" s="4"/>
      <c r="W79" s="4"/>
      <c r="X79" s="4"/>
      <c r="Y79" s="4" t="str">
        <f t="shared" si="7"/>
        <v/>
      </c>
      <c r="Z79" s="4"/>
      <c r="AA79" s="4"/>
      <c r="AB79" s="4"/>
      <c r="AC79" s="4"/>
      <c r="AD79" s="4"/>
      <c r="AE79" s="4" t="str">
        <f t="shared" si="8"/>
        <v/>
      </c>
      <c r="AF79" s="4"/>
      <c r="AG79" s="4"/>
    </row>
    <row r="80" spans="1:3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 t="str">
        <f t="shared" si="6"/>
        <v/>
      </c>
      <c r="T80" s="4"/>
      <c r="U80" s="4"/>
      <c r="V80" s="4"/>
      <c r="W80" s="4"/>
      <c r="X80" s="4"/>
      <c r="Y80" s="4" t="str">
        <f t="shared" si="7"/>
        <v/>
      </c>
      <c r="Z80" s="4"/>
      <c r="AA80" s="4"/>
      <c r="AB80" s="4"/>
      <c r="AC80" s="4"/>
      <c r="AD80" s="4"/>
      <c r="AE80" s="4" t="str">
        <f t="shared" si="8"/>
        <v/>
      </c>
      <c r="AF80" s="4"/>
      <c r="AG80" s="4"/>
    </row>
    <row r="81" spans="1:3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 t="str">
        <f t="shared" si="6"/>
        <v/>
      </c>
      <c r="T81" s="4"/>
      <c r="U81" s="4"/>
      <c r="V81" s="4"/>
      <c r="W81" s="4"/>
      <c r="X81" s="4"/>
      <c r="Y81" s="4" t="str">
        <f t="shared" si="7"/>
        <v/>
      </c>
      <c r="Z81" s="4"/>
      <c r="AA81" s="4"/>
      <c r="AB81" s="4"/>
      <c r="AC81" s="4"/>
      <c r="AD81" s="4"/>
      <c r="AE81" s="4" t="str">
        <f t="shared" si="8"/>
        <v/>
      </c>
      <c r="AF81" s="4"/>
      <c r="AG81" s="4"/>
    </row>
    <row r="82" spans="1:3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 t="str">
        <f t="shared" si="6"/>
        <v/>
      </c>
      <c r="T82" s="4"/>
      <c r="U82" s="4"/>
      <c r="V82" s="4"/>
      <c r="W82" s="4"/>
      <c r="X82" s="4"/>
      <c r="Y82" s="4" t="str">
        <f t="shared" si="7"/>
        <v/>
      </c>
      <c r="Z82" s="4"/>
      <c r="AA82" s="4"/>
      <c r="AB82" s="4"/>
      <c r="AC82" s="4"/>
      <c r="AD82" s="4"/>
      <c r="AE82" s="4" t="str">
        <f t="shared" si="8"/>
        <v/>
      </c>
      <c r="AF82" s="4"/>
      <c r="AG82" s="4"/>
    </row>
    <row r="83" spans="1:3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 t="str">
        <f t="shared" si="6"/>
        <v/>
      </c>
      <c r="T83" s="4"/>
      <c r="U83" s="4"/>
      <c r="V83" s="4"/>
      <c r="W83" s="4"/>
      <c r="X83" s="4"/>
      <c r="Y83" s="4" t="str">
        <f t="shared" si="7"/>
        <v/>
      </c>
      <c r="Z83" s="4"/>
      <c r="AA83" s="4"/>
      <c r="AB83" s="4"/>
      <c r="AC83" s="4"/>
      <c r="AD83" s="4"/>
      <c r="AE83" s="4" t="str">
        <f t="shared" si="8"/>
        <v/>
      </c>
      <c r="AF83" s="4"/>
      <c r="AG83" s="4"/>
    </row>
    <row r="84" spans="1:3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 t="str">
        <f t="shared" si="6"/>
        <v/>
      </c>
      <c r="T84" s="4"/>
      <c r="U84" s="4"/>
      <c r="V84" s="4"/>
      <c r="W84" s="4"/>
      <c r="X84" s="4"/>
      <c r="Y84" s="4" t="str">
        <f t="shared" si="7"/>
        <v/>
      </c>
      <c r="Z84" s="4"/>
      <c r="AA84" s="4"/>
      <c r="AB84" s="4"/>
      <c r="AC84" s="4"/>
      <c r="AD84" s="4"/>
      <c r="AE84" s="4" t="str">
        <f t="shared" si="8"/>
        <v/>
      </c>
      <c r="AF84" s="4"/>
      <c r="AG84" s="4"/>
    </row>
    <row r="85" spans="1:3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 t="str">
        <f t="shared" si="6"/>
        <v/>
      </c>
      <c r="T85" s="4"/>
      <c r="U85" s="4"/>
      <c r="V85" s="4"/>
      <c r="W85" s="4"/>
      <c r="X85" s="4"/>
      <c r="Y85" s="4" t="str">
        <f t="shared" si="7"/>
        <v/>
      </c>
      <c r="Z85" s="4"/>
      <c r="AA85" s="4"/>
      <c r="AB85" s="4"/>
      <c r="AC85" s="4"/>
      <c r="AD85" s="4"/>
      <c r="AE85" s="4" t="str">
        <f t="shared" si="8"/>
        <v/>
      </c>
      <c r="AF85" s="4"/>
      <c r="AG85" s="4"/>
    </row>
    <row r="86" spans="1:3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 t="str">
        <f t="shared" si="6"/>
        <v/>
      </c>
      <c r="T86" s="4"/>
      <c r="U86" s="4"/>
      <c r="V86" s="4"/>
      <c r="W86" s="4"/>
      <c r="X86" s="4"/>
      <c r="Y86" s="4" t="str">
        <f t="shared" si="7"/>
        <v/>
      </c>
      <c r="Z86" s="4"/>
      <c r="AA86" s="4"/>
      <c r="AB86" s="4"/>
      <c r="AC86" s="4"/>
      <c r="AD86" s="4"/>
      <c r="AE86" s="4" t="str">
        <f t="shared" si="8"/>
        <v/>
      </c>
      <c r="AF86" s="4"/>
      <c r="AG86" s="4"/>
    </row>
    <row r="87" spans="1:3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 t="str">
        <f t="shared" si="6"/>
        <v/>
      </c>
      <c r="T87" s="4"/>
      <c r="U87" s="4"/>
      <c r="V87" s="4"/>
      <c r="W87" s="4"/>
      <c r="X87" s="4"/>
      <c r="Y87" s="4" t="str">
        <f t="shared" si="7"/>
        <v/>
      </c>
      <c r="Z87" s="4"/>
      <c r="AA87" s="4"/>
      <c r="AB87" s="4"/>
      <c r="AC87" s="4"/>
      <c r="AD87" s="4"/>
      <c r="AE87" s="4" t="str">
        <f t="shared" si="8"/>
        <v/>
      </c>
      <c r="AF87" s="4"/>
      <c r="AG87" s="4"/>
    </row>
    <row r="88" spans="1:3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 t="str">
        <f t="shared" si="6"/>
        <v/>
      </c>
      <c r="T88" s="4"/>
      <c r="U88" s="4"/>
      <c r="V88" s="4"/>
      <c r="W88" s="4"/>
      <c r="X88" s="4"/>
      <c r="Y88" s="4" t="str">
        <f t="shared" si="7"/>
        <v/>
      </c>
      <c r="Z88" s="4"/>
      <c r="AA88" s="4"/>
      <c r="AB88" s="4"/>
      <c r="AC88" s="4"/>
      <c r="AD88" s="4"/>
      <c r="AE88" s="4" t="str">
        <f t="shared" si="8"/>
        <v/>
      </c>
      <c r="AF88" s="4"/>
      <c r="AG88" s="4"/>
    </row>
    <row r="89" spans="1:3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 t="str">
        <f t="shared" si="6"/>
        <v/>
      </c>
      <c r="T89" s="4"/>
      <c r="U89" s="4"/>
      <c r="V89" s="4"/>
      <c r="W89" s="4"/>
      <c r="X89" s="4"/>
      <c r="Y89" s="4" t="str">
        <f t="shared" si="7"/>
        <v/>
      </c>
      <c r="Z89" s="4"/>
      <c r="AA89" s="4"/>
      <c r="AB89" s="4"/>
      <c r="AC89" s="4"/>
      <c r="AD89" s="4"/>
      <c r="AE89" s="4" t="str">
        <f t="shared" si="8"/>
        <v/>
      </c>
      <c r="AF89" s="4"/>
      <c r="AG89" s="4"/>
    </row>
    <row r="90" spans="1:3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 t="str">
        <f t="shared" si="6"/>
        <v/>
      </c>
      <c r="T90" s="4"/>
      <c r="U90" s="4"/>
      <c r="V90" s="4"/>
      <c r="W90" s="4"/>
      <c r="X90" s="4"/>
      <c r="Y90" s="4" t="str">
        <f t="shared" si="7"/>
        <v/>
      </c>
      <c r="Z90" s="4"/>
      <c r="AA90" s="4"/>
      <c r="AB90" s="4"/>
      <c r="AC90" s="4"/>
      <c r="AD90" s="4"/>
      <c r="AE90" s="4" t="str">
        <f t="shared" si="8"/>
        <v/>
      </c>
      <c r="AF90" s="4"/>
      <c r="AG90" s="4"/>
    </row>
    <row r="91" spans="1:3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 t="str">
        <f t="shared" si="6"/>
        <v/>
      </c>
      <c r="T91" s="4"/>
      <c r="U91" s="4"/>
      <c r="V91" s="4"/>
      <c r="W91" s="4"/>
      <c r="X91" s="4"/>
      <c r="Y91" s="4" t="str">
        <f t="shared" si="7"/>
        <v/>
      </c>
      <c r="Z91" s="4"/>
      <c r="AA91" s="4"/>
      <c r="AB91" s="4"/>
      <c r="AC91" s="4"/>
      <c r="AD91" s="4"/>
      <c r="AE91" s="4" t="str">
        <f t="shared" si="8"/>
        <v/>
      </c>
      <c r="AF91" s="4"/>
      <c r="AG91" s="4"/>
    </row>
    <row r="92" spans="1:3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 t="str">
        <f t="shared" si="6"/>
        <v/>
      </c>
      <c r="T92" s="4"/>
      <c r="U92" s="4"/>
      <c r="V92" s="4"/>
      <c r="W92" s="4"/>
      <c r="X92" s="4"/>
      <c r="Y92" s="4" t="str">
        <f t="shared" si="7"/>
        <v/>
      </c>
      <c r="Z92" s="4"/>
      <c r="AA92" s="4"/>
      <c r="AB92" s="4"/>
      <c r="AC92" s="4"/>
      <c r="AD92" s="4"/>
      <c r="AE92" s="4" t="str">
        <f t="shared" si="8"/>
        <v/>
      </c>
      <c r="AF92" s="4"/>
      <c r="AG92" s="4"/>
    </row>
    <row r="93" spans="1:3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 t="str">
        <f t="shared" si="6"/>
        <v/>
      </c>
      <c r="T93" s="4"/>
      <c r="U93" s="4"/>
      <c r="V93" s="4"/>
      <c r="W93" s="4"/>
      <c r="X93" s="4"/>
      <c r="Y93" s="4" t="str">
        <f t="shared" si="7"/>
        <v/>
      </c>
      <c r="Z93" s="4"/>
      <c r="AA93" s="4"/>
      <c r="AB93" s="4"/>
      <c r="AC93" s="4"/>
      <c r="AD93" s="4"/>
      <c r="AE93" s="4" t="str">
        <f t="shared" si="8"/>
        <v/>
      </c>
      <c r="AF93" s="4"/>
      <c r="AG93" s="4"/>
    </row>
    <row r="94" spans="1:3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 t="str">
        <f t="shared" si="6"/>
        <v/>
      </c>
      <c r="T94" s="4"/>
      <c r="U94" s="4"/>
      <c r="V94" s="4"/>
      <c r="W94" s="4"/>
      <c r="X94" s="4"/>
      <c r="Y94" s="4" t="str">
        <f t="shared" si="7"/>
        <v/>
      </c>
      <c r="Z94" s="4"/>
      <c r="AA94" s="4"/>
      <c r="AB94" s="4"/>
      <c r="AC94" s="4"/>
      <c r="AD94" s="4"/>
      <c r="AE94" s="4" t="str">
        <f t="shared" si="8"/>
        <v/>
      </c>
      <c r="AF94" s="4"/>
      <c r="AG94" s="4"/>
    </row>
    <row r="95" spans="1:3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 t="str">
        <f t="shared" si="6"/>
        <v/>
      </c>
      <c r="T95" s="4"/>
      <c r="U95" s="4"/>
      <c r="V95" s="4"/>
      <c r="W95" s="4"/>
      <c r="X95" s="4"/>
      <c r="Y95" s="4" t="str">
        <f t="shared" si="7"/>
        <v/>
      </c>
      <c r="Z95" s="4"/>
      <c r="AA95" s="4"/>
      <c r="AB95" s="4"/>
      <c r="AC95" s="4"/>
      <c r="AD95" s="4"/>
      <c r="AE95" s="4" t="str">
        <f t="shared" si="8"/>
        <v/>
      </c>
      <c r="AF95" s="4"/>
      <c r="AG95" s="4"/>
    </row>
    <row r="96" spans="1:3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 t="str">
        <f t="shared" si="6"/>
        <v/>
      </c>
      <c r="T96" s="4"/>
      <c r="U96" s="4"/>
      <c r="V96" s="4"/>
      <c r="W96" s="4"/>
      <c r="X96" s="4"/>
      <c r="Y96" s="4" t="str">
        <f t="shared" si="7"/>
        <v/>
      </c>
      <c r="Z96" s="4"/>
      <c r="AA96" s="4"/>
      <c r="AB96" s="4"/>
      <c r="AC96" s="4"/>
      <c r="AD96" s="4"/>
      <c r="AE96" s="4" t="str">
        <f t="shared" si="8"/>
        <v/>
      </c>
      <c r="AF96" s="4"/>
      <c r="AG96" s="4"/>
    </row>
    <row r="97" spans="1:3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 t="str">
        <f t="shared" si="6"/>
        <v/>
      </c>
      <c r="T97" s="4"/>
      <c r="U97" s="4"/>
      <c r="V97" s="4"/>
      <c r="W97" s="4"/>
      <c r="X97" s="4"/>
      <c r="Y97" s="4" t="str">
        <f t="shared" si="7"/>
        <v/>
      </c>
      <c r="Z97" s="4"/>
      <c r="AA97" s="4"/>
      <c r="AB97" s="4"/>
      <c r="AC97" s="4"/>
      <c r="AD97" s="4"/>
      <c r="AE97" s="4" t="str">
        <f t="shared" si="8"/>
        <v/>
      </c>
      <c r="AF97" s="4"/>
      <c r="AG97" s="4"/>
    </row>
    <row r="98" spans="1:3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 t="str">
        <f t="shared" ref="S98:S101" si="9">IFERROR(AVERAGE(C98:R98),"")</f>
        <v/>
      </c>
      <c r="T98" s="4"/>
      <c r="U98" s="4"/>
      <c r="V98" s="4"/>
      <c r="W98" s="4"/>
      <c r="X98" s="4"/>
      <c r="Y98" s="4" t="str">
        <f t="shared" ref="Y98:Y101" si="10">IF(COUNTA(T98:X98)=0,"",SUM(T98:X98))</f>
        <v/>
      </c>
      <c r="Z98" s="4"/>
      <c r="AA98" s="4"/>
      <c r="AB98" s="4"/>
      <c r="AC98" s="4"/>
      <c r="AD98" s="4"/>
      <c r="AE98" s="4" t="str">
        <f t="shared" ref="AE98:AE101" si="11">IFERROR(AVERAGE(Z98:AD98),"")</f>
        <v/>
      </c>
      <c r="AF98" s="4"/>
      <c r="AG98" s="4"/>
    </row>
    <row r="99" spans="1:3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 t="str">
        <f t="shared" si="9"/>
        <v/>
      </c>
      <c r="T99" s="4"/>
      <c r="U99" s="4"/>
      <c r="V99" s="4"/>
      <c r="W99" s="4"/>
      <c r="X99" s="4"/>
      <c r="Y99" s="4" t="str">
        <f t="shared" si="10"/>
        <v/>
      </c>
      <c r="Z99" s="4"/>
      <c r="AA99" s="4"/>
      <c r="AB99" s="4"/>
      <c r="AC99" s="4"/>
      <c r="AD99" s="4"/>
      <c r="AE99" s="4" t="str">
        <f t="shared" si="11"/>
        <v/>
      </c>
      <c r="AF99" s="4"/>
      <c r="AG99" s="4"/>
    </row>
    <row r="100" spans="1:3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 t="str">
        <f t="shared" si="9"/>
        <v/>
      </c>
      <c r="T100" s="4"/>
      <c r="U100" s="4"/>
      <c r="V100" s="4"/>
      <c r="W100" s="4"/>
      <c r="X100" s="4"/>
      <c r="Y100" s="4" t="str">
        <f t="shared" si="10"/>
        <v/>
      </c>
      <c r="Z100" s="4"/>
      <c r="AA100" s="4"/>
      <c r="AB100" s="4"/>
      <c r="AC100" s="4"/>
      <c r="AD100" s="4"/>
      <c r="AE100" s="4" t="str">
        <f t="shared" si="11"/>
        <v/>
      </c>
      <c r="AF100" s="4"/>
      <c r="AG100" s="4"/>
    </row>
    <row r="101" spans="1:3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 t="str">
        <f t="shared" si="9"/>
        <v/>
      </c>
      <c r="T101" s="4"/>
      <c r="U101" s="4"/>
      <c r="V101" s="4"/>
      <c r="W101" s="4"/>
      <c r="X101" s="4"/>
      <c r="Y101" s="4" t="str">
        <f t="shared" si="10"/>
        <v/>
      </c>
      <c r="Z101" s="4"/>
      <c r="AA101" s="4"/>
      <c r="AB101" s="4"/>
      <c r="AC101" s="4"/>
      <c r="AD101" s="4"/>
      <c r="AE101" s="4" t="str">
        <f t="shared" si="11"/>
        <v/>
      </c>
      <c r="AF101" s="4"/>
      <c r="AG101" s="4"/>
    </row>
  </sheetData>
  <dataValidations count="3">
    <dataValidation type="list" sqref="C2:R101" xr:uid="{00000000-0002-0000-0200-000000000000}">
      <formula1>"0,1,2,3,4,5"</formula1>
    </dataValidation>
    <dataValidation type="list" sqref="Z2:AD101 T2:X101" xr:uid="{00000000-0002-0000-0200-000010000000}">
      <formula1>"0,1,2,3,4"</formula1>
    </dataValidation>
    <dataValidation type="list" sqref="AF2:AF101" xr:uid="{00000000-0002-0000-0200-00001A000000}">
      <formula1>"Accept,Conditional,Change Topic/Scope,Not Ready"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1"/>
  <sheetViews>
    <sheetView workbookViewId="0"/>
  </sheetViews>
  <sheetFormatPr defaultRowHeight="14.25"/>
  <cols>
    <col min="1" max="1" width="13" customWidth="1"/>
    <col min="2" max="2" width="24" customWidth="1"/>
    <col min="3" max="3" width="8" customWidth="1"/>
    <col min="4" max="4" width="12" customWidth="1"/>
    <col min="5" max="6" width="28" customWidth="1"/>
    <col min="7" max="9" width="30" customWidth="1"/>
    <col min="10" max="10" width="28" customWidth="1"/>
    <col min="11" max="12" width="30" customWidth="1"/>
    <col min="13" max="13" width="28" customWidth="1"/>
    <col min="14" max="14" width="10" customWidth="1"/>
    <col min="15" max="16" width="30" customWidth="1"/>
    <col min="17" max="17" width="14" customWidth="1"/>
  </cols>
  <sheetData>
    <row r="1" spans="1:17" ht="15">
      <c r="A1" s="3" t="s">
        <v>932</v>
      </c>
      <c r="B1" s="3" t="s">
        <v>933</v>
      </c>
      <c r="C1" s="3" t="s">
        <v>978</v>
      </c>
      <c r="D1" s="3" t="s">
        <v>979</v>
      </c>
      <c r="E1" s="3" t="s">
        <v>980</v>
      </c>
      <c r="F1" s="3" t="s">
        <v>981</v>
      </c>
      <c r="G1" s="3" t="s">
        <v>982</v>
      </c>
      <c r="H1" s="3" t="s">
        <v>983</v>
      </c>
      <c r="I1" s="3" t="s">
        <v>984</v>
      </c>
      <c r="J1" s="3" t="s">
        <v>985</v>
      </c>
      <c r="K1" s="3" t="s">
        <v>986</v>
      </c>
      <c r="L1" s="3" t="s">
        <v>987</v>
      </c>
      <c r="M1" s="3" t="s">
        <v>988</v>
      </c>
      <c r="N1" s="3" t="s">
        <v>941</v>
      </c>
      <c r="O1" s="3" t="s">
        <v>976</v>
      </c>
      <c r="P1" s="3" t="s">
        <v>944</v>
      </c>
      <c r="Q1" s="3" t="s">
        <v>989</v>
      </c>
    </row>
    <row r="2" spans="1:17">
      <c r="A2" s="4"/>
      <c r="B2" s="4"/>
      <c r="C2" s="4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6"/>
    </row>
    <row r="3" spans="1:17">
      <c r="A3" s="4"/>
      <c r="B3" s="4"/>
      <c r="C3" s="4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6"/>
    </row>
    <row r="4" spans="1:17">
      <c r="A4" s="4"/>
      <c r="B4" s="4"/>
      <c r="C4" s="4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"/>
    </row>
    <row r="5" spans="1:17">
      <c r="A5" s="4"/>
      <c r="B5" s="4"/>
      <c r="C5" s="4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</row>
    <row r="6" spans="1:17">
      <c r="A6" s="4"/>
      <c r="B6" s="4"/>
      <c r="C6" s="4"/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"/>
    </row>
    <row r="7" spans="1:17">
      <c r="A7" s="4"/>
      <c r="B7" s="4"/>
      <c r="C7" s="4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6"/>
    </row>
    <row r="8" spans="1:17">
      <c r="A8" s="4"/>
      <c r="B8" s="4"/>
      <c r="C8" s="4"/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6"/>
    </row>
    <row r="9" spans="1:17">
      <c r="A9" s="4"/>
      <c r="B9" s="4"/>
      <c r="C9" s="4"/>
      <c r="D9" s="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6"/>
    </row>
    <row r="10" spans="1:17">
      <c r="A10" s="4"/>
      <c r="B10" s="4"/>
      <c r="C10" s="4"/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6"/>
    </row>
    <row r="11" spans="1:17">
      <c r="A11" s="4"/>
      <c r="B11" s="4"/>
      <c r="C11" s="4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6"/>
    </row>
    <row r="12" spans="1:17">
      <c r="A12" s="4"/>
      <c r="B12" s="4"/>
      <c r="C12" s="4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6"/>
    </row>
    <row r="13" spans="1:17">
      <c r="A13" s="4"/>
      <c r="B13" s="4"/>
      <c r="C13" s="4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"/>
    </row>
    <row r="14" spans="1:17">
      <c r="A14" s="4"/>
      <c r="B14" s="4"/>
      <c r="C14" s="4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6"/>
    </row>
    <row r="15" spans="1:17">
      <c r="A15" s="4"/>
      <c r="B15" s="4"/>
      <c r="C15" s="4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6"/>
    </row>
    <row r="16" spans="1:17">
      <c r="A16" s="4"/>
      <c r="B16" s="4"/>
      <c r="C16" s="4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6"/>
    </row>
    <row r="17" spans="1:17">
      <c r="A17" s="4"/>
      <c r="B17" s="4"/>
      <c r="C17" s="4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/>
    </row>
    <row r="18" spans="1:17">
      <c r="A18" s="4"/>
      <c r="B18" s="4"/>
      <c r="C18" s="4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</row>
    <row r="19" spans="1:17">
      <c r="A19" s="4"/>
      <c r="B19" s="4"/>
      <c r="C19" s="4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6"/>
    </row>
    <row r="20" spans="1:17">
      <c r="A20" s="4"/>
      <c r="B20" s="4"/>
      <c r="C20" s="4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6"/>
    </row>
    <row r="21" spans="1:17">
      <c r="A21" s="4"/>
      <c r="B21" s="4"/>
      <c r="C21" s="4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6"/>
    </row>
    <row r="22" spans="1:17">
      <c r="A22" s="4"/>
      <c r="B22" s="4"/>
      <c r="C22" s="4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6"/>
    </row>
    <row r="23" spans="1:17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6"/>
    </row>
    <row r="24" spans="1:17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6"/>
    </row>
    <row r="25" spans="1:17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6"/>
    </row>
    <row r="26" spans="1:17">
      <c r="A26" s="4"/>
      <c r="B26" s="4"/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6"/>
    </row>
    <row r="27" spans="1:17">
      <c r="A27" s="4"/>
      <c r="B27" s="4"/>
      <c r="C27" s="4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6"/>
    </row>
    <row r="28" spans="1:17">
      <c r="A28" s="4"/>
      <c r="B28" s="4"/>
      <c r="C28" s="4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6"/>
    </row>
    <row r="29" spans="1:17">
      <c r="A29" s="4"/>
      <c r="B29" s="4"/>
      <c r="C29" s="4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6"/>
    </row>
    <row r="30" spans="1:17">
      <c r="A30" s="4"/>
      <c r="B30" s="4"/>
      <c r="C30" s="4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6"/>
    </row>
    <row r="31" spans="1:17">
      <c r="A31" s="4"/>
      <c r="B31" s="4"/>
      <c r="C31" s="4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6"/>
    </row>
    <row r="32" spans="1:17">
      <c r="A32" s="4"/>
      <c r="B32" s="4"/>
      <c r="C32" s="4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6"/>
    </row>
    <row r="33" spans="1:17">
      <c r="A33" s="4"/>
      <c r="B33" s="4"/>
      <c r="C33" s="4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6"/>
    </row>
    <row r="34" spans="1:17">
      <c r="A34" s="4"/>
      <c r="B34" s="4"/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6"/>
    </row>
    <row r="35" spans="1:17">
      <c r="A35" s="4"/>
      <c r="B35" s="4"/>
      <c r="C35" s="4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6"/>
    </row>
    <row r="36" spans="1:17">
      <c r="A36" s="4"/>
      <c r="B36" s="4"/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6"/>
    </row>
    <row r="37" spans="1:17">
      <c r="A37" s="4"/>
      <c r="B37" s="4"/>
      <c r="C37" s="4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6"/>
    </row>
    <row r="38" spans="1:17">
      <c r="A38" s="4"/>
      <c r="B38" s="4"/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6"/>
    </row>
    <row r="39" spans="1:17">
      <c r="A39" s="4"/>
      <c r="B39" s="4"/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6"/>
    </row>
    <row r="40" spans="1:17">
      <c r="A40" s="4"/>
      <c r="B40" s="4"/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6"/>
    </row>
    <row r="41" spans="1:17">
      <c r="A41" s="4"/>
      <c r="B41" s="4"/>
      <c r="C41" s="4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6"/>
    </row>
    <row r="42" spans="1:17">
      <c r="A42" s="4"/>
      <c r="B42" s="4"/>
      <c r="C42" s="4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6"/>
    </row>
    <row r="43" spans="1:17">
      <c r="A43" s="4"/>
      <c r="B43" s="4"/>
      <c r="C43" s="4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6"/>
    </row>
    <row r="44" spans="1:17">
      <c r="A44" s="4"/>
      <c r="B44" s="4"/>
      <c r="C44" s="4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6"/>
    </row>
    <row r="45" spans="1:17">
      <c r="A45" s="4"/>
      <c r="B45" s="4"/>
      <c r="C45" s="4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6"/>
    </row>
    <row r="46" spans="1:17">
      <c r="A46" s="4"/>
      <c r="B46" s="4"/>
      <c r="C46" s="4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6"/>
    </row>
    <row r="47" spans="1:17">
      <c r="A47" s="4"/>
      <c r="B47" s="4"/>
      <c r="C47" s="4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6"/>
    </row>
    <row r="48" spans="1:17">
      <c r="A48" s="4"/>
      <c r="B48" s="4"/>
      <c r="C48" s="4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6"/>
    </row>
    <row r="49" spans="1:17">
      <c r="A49" s="4"/>
      <c r="B49" s="4"/>
      <c r="C49" s="4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6"/>
    </row>
    <row r="50" spans="1:17">
      <c r="A50" s="4"/>
      <c r="B50" s="4"/>
      <c r="C50" s="4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6"/>
    </row>
    <row r="51" spans="1:17">
      <c r="A51" s="4"/>
      <c r="B51" s="4"/>
      <c r="C51" s="4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6"/>
    </row>
    <row r="52" spans="1:17">
      <c r="A52" s="4"/>
      <c r="B52" s="4"/>
      <c r="C52" s="4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6"/>
    </row>
    <row r="53" spans="1:17">
      <c r="A53" s="4"/>
      <c r="B53" s="4"/>
      <c r="C53" s="4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6"/>
    </row>
    <row r="54" spans="1:17">
      <c r="A54" s="4"/>
      <c r="B54" s="4"/>
      <c r="C54" s="4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6"/>
    </row>
    <row r="55" spans="1:17">
      <c r="A55" s="4"/>
      <c r="B55" s="4"/>
      <c r="C55" s="4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6"/>
    </row>
    <row r="56" spans="1:17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6"/>
    </row>
    <row r="57" spans="1:17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6"/>
    </row>
    <row r="58" spans="1:17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6"/>
    </row>
    <row r="59" spans="1:17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6"/>
    </row>
    <row r="60" spans="1:17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6"/>
    </row>
    <row r="61" spans="1:17">
      <c r="A61" s="4"/>
      <c r="B61" s="4"/>
      <c r="C61" s="4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6"/>
    </row>
    <row r="62" spans="1:17">
      <c r="A62" s="4"/>
      <c r="B62" s="4"/>
      <c r="C62" s="4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6"/>
    </row>
    <row r="63" spans="1:17">
      <c r="A63" s="4"/>
      <c r="B63" s="4"/>
      <c r="C63" s="4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6"/>
    </row>
    <row r="64" spans="1:17">
      <c r="A64" s="4"/>
      <c r="B64" s="4"/>
      <c r="C64" s="4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6"/>
    </row>
    <row r="65" spans="1:17">
      <c r="A65" s="4"/>
      <c r="B65" s="4"/>
      <c r="C65" s="4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6"/>
    </row>
    <row r="66" spans="1:17">
      <c r="A66" s="4"/>
      <c r="B66" s="4"/>
      <c r="C66" s="4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6"/>
    </row>
    <row r="67" spans="1:17">
      <c r="A67" s="4"/>
      <c r="B67" s="4"/>
      <c r="C67" s="4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6"/>
    </row>
    <row r="68" spans="1:17">
      <c r="A68" s="4"/>
      <c r="B68" s="4"/>
      <c r="C68" s="4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6"/>
    </row>
    <row r="69" spans="1:17">
      <c r="A69" s="4"/>
      <c r="B69" s="4"/>
      <c r="C69" s="4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6"/>
    </row>
    <row r="70" spans="1:17">
      <c r="A70" s="4"/>
      <c r="B70" s="4"/>
      <c r="C70" s="4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6"/>
    </row>
    <row r="71" spans="1:17">
      <c r="A71" s="4"/>
      <c r="B71" s="4"/>
      <c r="C71" s="4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6"/>
    </row>
    <row r="72" spans="1:17">
      <c r="A72" s="4"/>
      <c r="B72" s="4"/>
      <c r="C72" s="4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6"/>
    </row>
    <row r="73" spans="1:17">
      <c r="A73" s="4"/>
      <c r="B73" s="4"/>
      <c r="C73" s="4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6"/>
    </row>
    <row r="74" spans="1:17">
      <c r="A74" s="4"/>
      <c r="B74" s="4"/>
      <c r="C74" s="4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6"/>
    </row>
    <row r="75" spans="1:17">
      <c r="A75" s="4"/>
      <c r="B75" s="4"/>
      <c r="C75" s="4"/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6"/>
    </row>
    <row r="76" spans="1:17">
      <c r="A76" s="4"/>
      <c r="B76" s="4"/>
      <c r="C76" s="4"/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6"/>
    </row>
    <row r="77" spans="1:17">
      <c r="A77" s="4"/>
      <c r="B77" s="4"/>
      <c r="C77" s="4"/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6"/>
    </row>
    <row r="78" spans="1:17">
      <c r="A78" s="4"/>
      <c r="B78" s="4"/>
      <c r="C78" s="4"/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6"/>
    </row>
    <row r="79" spans="1:17">
      <c r="A79" s="4"/>
      <c r="B79" s="4"/>
      <c r="C79" s="4"/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6"/>
    </row>
    <row r="80" spans="1:17">
      <c r="A80" s="4"/>
      <c r="B80" s="4"/>
      <c r="C80" s="4"/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6"/>
    </row>
    <row r="81" spans="1:17">
      <c r="A81" s="4"/>
      <c r="B81" s="4"/>
      <c r="C81" s="4"/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6"/>
    </row>
    <row r="82" spans="1:17">
      <c r="A82" s="4"/>
      <c r="B82" s="4"/>
      <c r="C82" s="4"/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6"/>
    </row>
    <row r="83" spans="1:17">
      <c r="A83" s="4"/>
      <c r="B83" s="4"/>
      <c r="C83" s="4"/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6"/>
    </row>
    <row r="84" spans="1:17">
      <c r="A84" s="4"/>
      <c r="B84" s="4"/>
      <c r="C84" s="4"/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6"/>
    </row>
    <row r="85" spans="1:17">
      <c r="A85" s="4"/>
      <c r="B85" s="4"/>
      <c r="C85" s="4"/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6"/>
    </row>
    <row r="86" spans="1:17">
      <c r="A86" s="4"/>
      <c r="B86" s="4"/>
      <c r="C86" s="4"/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6"/>
    </row>
    <row r="87" spans="1:17">
      <c r="A87" s="4"/>
      <c r="B87" s="4"/>
      <c r="C87" s="4"/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6"/>
    </row>
    <row r="88" spans="1:17">
      <c r="A88" s="4"/>
      <c r="B88" s="4"/>
      <c r="C88" s="4"/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6"/>
    </row>
    <row r="89" spans="1:17">
      <c r="A89" s="4"/>
      <c r="B89" s="4"/>
      <c r="C89" s="4"/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6"/>
    </row>
    <row r="90" spans="1:17">
      <c r="A90" s="4"/>
      <c r="B90" s="4"/>
      <c r="C90" s="4"/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6"/>
    </row>
    <row r="91" spans="1:17">
      <c r="A91" s="4"/>
      <c r="B91" s="4"/>
      <c r="C91" s="4"/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6"/>
    </row>
    <row r="92" spans="1:17">
      <c r="A92" s="4"/>
      <c r="B92" s="4"/>
      <c r="C92" s="4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6"/>
    </row>
    <row r="93" spans="1:17">
      <c r="A93" s="4"/>
      <c r="B93" s="4"/>
      <c r="C93" s="4"/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6"/>
    </row>
    <row r="94" spans="1:17">
      <c r="A94" s="4"/>
      <c r="B94" s="4"/>
      <c r="C94" s="4"/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6"/>
    </row>
    <row r="95" spans="1:17">
      <c r="A95" s="4"/>
      <c r="B95" s="4"/>
      <c r="C95" s="4"/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6"/>
    </row>
    <row r="96" spans="1:17">
      <c r="A96" s="4"/>
      <c r="B96" s="4"/>
      <c r="C96" s="4"/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6"/>
    </row>
    <row r="97" spans="1:17">
      <c r="A97" s="4"/>
      <c r="B97" s="4"/>
      <c r="C97" s="4"/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6"/>
    </row>
    <row r="98" spans="1:17">
      <c r="A98" s="4"/>
      <c r="B98" s="4"/>
      <c r="C98" s="4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6"/>
    </row>
    <row r="99" spans="1:17">
      <c r="A99" s="4"/>
      <c r="B99" s="4"/>
      <c r="C99" s="4"/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6"/>
    </row>
    <row r="100" spans="1:17">
      <c r="A100" s="4"/>
      <c r="B100" s="4"/>
      <c r="C100" s="4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6"/>
    </row>
    <row r="101" spans="1:17">
      <c r="A101" s="4"/>
      <c r="B101" s="4"/>
      <c r="C101" s="4"/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6"/>
    </row>
    <row r="102" spans="1:17">
      <c r="A102" s="4"/>
      <c r="B102" s="4"/>
      <c r="C102" s="4"/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6"/>
    </row>
    <row r="103" spans="1:17">
      <c r="A103" s="4"/>
      <c r="B103" s="4"/>
      <c r="C103" s="4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6"/>
    </row>
    <row r="104" spans="1:17">
      <c r="A104" s="4"/>
      <c r="B104" s="4"/>
      <c r="C104" s="4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6"/>
    </row>
    <row r="105" spans="1:17">
      <c r="A105" s="4"/>
      <c r="B105" s="4"/>
      <c r="C105" s="4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6"/>
    </row>
    <row r="106" spans="1:17">
      <c r="A106" s="4"/>
      <c r="B106" s="4"/>
      <c r="C106" s="4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6"/>
    </row>
    <row r="107" spans="1:17">
      <c r="A107" s="4"/>
      <c r="B107" s="4"/>
      <c r="C107" s="4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6"/>
    </row>
    <row r="108" spans="1:17">
      <c r="A108" s="4"/>
      <c r="B108" s="4"/>
      <c r="C108" s="4"/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6"/>
    </row>
    <row r="109" spans="1:17">
      <c r="A109" s="4"/>
      <c r="B109" s="4"/>
      <c r="C109" s="4"/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6"/>
    </row>
    <row r="110" spans="1:17">
      <c r="A110" s="4"/>
      <c r="B110" s="4"/>
      <c r="C110" s="4"/>
      <c r="D110" s="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6"/>
    </row>
    <row r="111" spans="1:17">
      <c r="A111" s="4"/>
      <c r="B111" s="4"/>
      <c r="C111" s="4"/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6"/>
    </row>
    <row r="112" spans="1:17">
      <c r="A112" s="4"/>
      <c r="B112" s="4"/>
      <c r="C112" s="4"/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6"/>
    </row>
    <row r="113" spans="1:17">
      <c r="A113" s="4"/>
      <c r="B113" s="4"/>
      <c r="C113" s="4"/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6"/>
    </row>
    <row r="114" spans="1:17">
      <c r="A114" s="4"/>
      <c r="B114" s="4"/>
      <c r="C114" s="4"/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6"/>
    </row>
    <row r="115" spans="1:17">
      <c r="A115" s="4"/>
      <c r="B115" s="4"/>
      <c r="C115" s="4"/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6"/>
    </row>
    <row r="116" spans="1:17">
      <c r="A116" s="4"/>
      <c r="B116" s="4"/>
      <c r="C116" s="4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6"/>
    </row>
    <row r="117" spans="1:17">
      <c r="A117" s="4"/>
      <c r="B117" s="4"/>
      <c r="C117" s="4"/>
      <c r="D117" s="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6"/>
    </row>
    <row r="118" spans="1:17">
      <c r="A118" s="4"/>
      <c r="B118" s="4"/>
      <c r="C118" s="4"/>
      <c r="D118" s="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6"/>
    </row>
    <row r="119" spans="1:17">
      <c r="A119" s="4"/>
      <c r="B119" s="4"/>
      <c r="C119" s="4"/>
      <c r="D119" s="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6"/>
    </row>
    <row r="120" spans="1:17">
      <c r="A120" s="4"/>
      <c r="B120" s="4"/>
      <c r="C120" s="4"/>
      <c r="D120" s="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6"/>
    </row>
    <row r="121" spans="1:17">
      <c r="A121" s="4"/>
      <c r="B121" s="4"/>
      <c r="C121" s="4"/>
      <c r="D121" s="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6"/>
    </row>
    <row r="122" spans="1:17">
      <c r="A122" s="4"/>
      <c r="B122" s="4"/>
      <c r="C122" s="4"/>
      <c r="D122" s="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6"/>
    </row>
    <row r="123" spans="1:17">
      <c r="A123" s="4"/>
      <c r="B123" s="4"/>
      <c r="C123" s="4"/>
      <c r="D123" s="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6"/>
    </row>
    <row r="124" spans="1:17">
      <c r="A124" s="4"/>
      <c r="B124" s="4"/>
      <c r="C124" s="4"/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6"/>
    </row>
    <row r="125" spans="1:17">
      <c r="A125" s="4"/>
      <c r="B125" s="4"/>
      <c r="C125" s="4"/>
      <c r="D125" s="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6"/>
    </row>
    <row r="126" spans="1:17">
      <c r="A126" s="4"/>
      <c r="B126" s="4"/>
      <c r="C126" s="4"/>
      <c r="D126" s="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6"/>
    </row>
    <row r="127" spans="1:17">
      <c r="A127" s="4"/>
      <c r="B127" s="4"/>
      <c r="C127" s="4"/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6"/>
    </row>
    <row r="128" spans="1:17">
      <c r="A128" s="4"/>
      <c r="B128" s="4"/>
      <c r="C128" s="4"/>
      <c r="D128" s="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6"/>
    </row>
    <row r="129" spans="1:17">
      <c r="A129" s="4"/>
      <c r="B129" s="4"/>
      <c r="C129" s="4"/>
      <c r="D129" s="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6"/>
    </row>
    <row r="130" spans="1:17">
      <c r="A130" s="4"/>
      <c r="B130" s="4"/>
      <c r="C130" s="4"/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6"/>
    </row>
    <row r="131" spans="1:17">
      <c r="A131" s="4"/>
      <c r="B131" s="4"/>
      <c r="C131" s="4"/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6"/>
    </row>
    <row r="132" spans="1:17">
      <c r="A132" s="4"/>
      <c r="B132" s="4"/>
      <c r="C132" s="4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6"/>
    </row>
    <row r="133" spans="1:17">
      <c r="A133" s="4"/>
      <c r="B133" s="4"/>
      <c r="C133" s="4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6"/>
    </row>
    <row r="134" spans="1:17">
      <c r="A134" s="4"/>
      <c r="B134" s="4"/>
      <c r="C134" s="4"/>
      <c r="D134" s="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6"/>
    </row>
    <row r="135" spans="1:17">
      <c r="A135" s="4"/>
      <c r="B135" s="4"/>
      <c r="C135" s="4"/>
      <c r="D135" s="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6"/>
    </row>
    <row r="136" spans="1:17">
      <c r="A136" s="4"/>
      <c r="B136" s="4"/>
      <c r="C136" s="4"/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6"/>
    </row>
    <row r="137" spans="1:17">
      <c r="A137" s="4"/>
      <c r="B137" s="4"/>
      <c r="C137" s="4"/>
      <c r="D137" s="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6"/>
    </row>
    <row r="138" spans="1:17">
      <c r="A138" s="4"/>
      <c r="B138" s="4"/>
      <c r="C138" s="4"/>
      <c r="D138" s="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6"/>
    </row>
    <row r="139" spans="1:17">
      <c r="A139" s="4"/>
      <c r="B139" s="4"/>
      <c r="C139" s="4"/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6"/>
    </row>
    <row r="140" spans="1:17">
      <c r="A140" s="4"/>
      <c r="B140" s="4"/>
      <c r="C140" s="4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6"/>
    </row>
    <row r="141" spans="1:17">
      <c r="A141" s="4"/>
      <c r="B141" s="4"/>
      <c r="C141" s="4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6"/>
    </row>
    <row r="142" spans="1:17">
      <c r="A142" s="4"/>
      <c r="B142" s="4"/>
      <c r="C142" s="4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6"/>
    </row>
    <row r="143" spans="1:17">
      <c r="A143" s="4"/>
      <c r="B143" s="4"/>
      <c r="C143" s="4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6"/>
    </row>
    <row r="144" spans="1:17">
      <c r="A144" s="4"/>
      <c r="B144" s="4"/>
      <c r="C144" s="4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6"/>
    </row>
    <row r="145" spans="1:17">
      <c r="A145" s="4"/>
      <c r="B145" s="4"/>
      <c r="C145" s="4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6"/>
    </row>
    <row r="146" spans="1:17">
      <c r="A146" s="4"/>
      <c r="B146" s="4"/>
      <c r="C146" s="4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6"/>
    </row>
    <row r="147" spans="1:17">
      <c r="A147" s="4"/>
      <c r="B147" s="4"/>
      <c r="C147" s="4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6"/>
    </row>
    <row r="148" spans="1:17">
      <c r="A148" s="4"/>
      <c r="B148" s="4"/>
      <c r="C148" s="4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6"/>
    </row>
    <row r="149" spans="1:17">
      <c r="A149" s="4"/>
      <c r="B149" s="4"/>
      <c r="C149" s="4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6"/>
    </row>
    <row r="150" spans="1:17">
      <c r="A150" s="4"/>
      <c r="B150" s="4"/>
      <c r="C150" s="4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6"/>
    </row>
    <row r="151" spans="1:17">
      <c r="A151" s="4"/>
      <c r="B151" s="4"/>
      <c r="C151" s="4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6"/>
    </row>
    <row r="152" spans="1:17">
      <c r="A152" s="4"/>
      <c r="B152" s="4"/>
      <c r="C152" s="4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6"/>
    </row>
    <row r="153" spans="1:17">
      <c r="A153" s="4"/>
      <c r="B153" s="4"/>
      <c r="C153" s="4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6"/>
    </row>
    <row r="154" spans="1:17">
      <c r="A154" s="4"/>
      <c r="B154" s="4"/>
      <c r="C154" s="4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6"/>
    </row>
    <row r="155" spans="1:17">
      <c r="A155" s="4"/>
      <c r="B155" s="4"/>
      <c r="C155" s="4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6"/>
    </row>
    <row r="156" spans="1:17">
      <c r="A156" s="4"/>
      <c r="B156" s="4"/>
      <c r="C156" s="4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6"/>
    </row>
    <row r="157" spans="1:17">
      <c r="A157" s="4"/>
      <c r="B157" s="4"/>
      <c r="C157" s="4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6"/>
    </row>
    <row r="158" spans="1:17">
      <c r="A158" s="4"/>
      <c r="B158" s="4"/>
      <c r="C158" s="4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6"/>
    </row>
    <row r="159" spans="1:17">
      <c r="A159" s="4"/>
      <c r="B159" s="4"/>
      <c r="C159" s="4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6"/>
    </row>
    <row r="160" spans="1:17">
      <c r="A160" s="4"/>
      <c r="B160" s="4"/>
      <c r="C160" s="4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6"/>
    </row>
    <row r="161" spans="1:17">
      <c r="A161" s="4"/>
      <c r="B161" s="4"/>
      <c r="C161" s="4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6"/>
    </row>
    <row r="162" spans="1:17">
      <c r="A162" s="4"/>
      <c r="B162" s="4"/>
      <c r="C162" s="4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6"/>
    </row>
    <row r="163" spans="1:17">
      <c r="A163" s="4"/>
      <c r="B163" s="4"/>
      <c r="C163" s="4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6"/>
    </row>
    <row r="164" spans="1:17">
      <c r="A164" s="4"/>
      <c r="B164" s="4"/>
      <c r="C164" s="4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6"/>
    </row>
    <row r="165" spans="1:17">
      <c r="A165" s="4"/>
      <c r="B165" s="4"/>
      <c r="C165" s="4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6"/>
    </row>
    <row r="166" spans="1:17">
      <c r="A166" s="4"/>
      <c r="B166" s="4"/>
      <c r="C166" s="4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6"/>
    </row>
    <row r="167" spans="1:17">
      <c r="A167" s="4"/>
      <c r="B167" s="4"/>
      <c r="C167" s="4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6"/>
    </row>
    <row r="168" spans="1:17">
      <c r="A168" s="4"/>
      <c r="B168" s="4"/>
      <c r="C168" s="4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6"/>
    </row>
    <row r="169" spans="1:17">
      <c r="A169" s="4"/>
      <c r="B169" s="4"/>
      <c r="C169" s="4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6"/>
    </row>
    <row r="170" spans="1:17">
      <c r="A170" s="4"/>
      <c r="B170" s="4"/>
      <c r="C170" s="4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6"/>
    </row>
    <row r="171" spans="1:17">
      <c r="A171" s="4"/>
      <c r="B171" s="4"/>
      <c r="C171" s="4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6"/>
    </row>
    <row r="172" spans="1:17">
      <c r="A172" s="4"/>
      <c r="B172" s="4"/>
      <c r="C172" s="4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6"/>
    </row>
    <row r="173" spans="1:17">
      <c r="A173" s="4"/>
      <c r="B173" s="4"/>
      <c r="C173" s="4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6"/>
    </row>
    <row r="174" spans="1:17">
      <c r="A174" s="4"/>
      <c r="B174" s="4"/>
      <c r="C174" s="4"/>
      <c r="D174" s="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6"/>
    </row>
    <row r="175" spans="1:17">
      <c r="A175" s="4"/>
      <c r="B175" s="4"/>
      <c r="C175" s="4"/>
      <c r="D175" s="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6"/>
    </row>
    <row r="176" spans="1:17">
      <c r="A176" s="4"/>
      <c r="B176" s="4"/>
      <c r="C176" s="4"/>
      <c r="D176" s="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6"/>
    </row>
    <row r="177" spans="1:17">
      <c r="A177" s="4"/>
      <c r="B177" s="4"/>
      <c r="C177" s="4"/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6"/>
    </row>
    <row r="178" spans="1:17">
      <c r="A178" s="4"/>
      <c r="B178" s="4"/>
      <c r="C178" s="4"/>
      <c r="D178" s="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6"/>
    </row>
    <row r="179" spans="1:17">
      <c r="A179" s="4"/>
      <c r="B179" s="4"/>
      <c r="C179" s="4"/>
      <c r="D179" s="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6"/>
    </row>
    <row r="180" spans="1:17">
      <c r="A180" s="4"/>
      <c r="B180" s="4"/>
      <c r="C180" s="4"/>
      <c r="D180" s="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6"/>
    </row>
    <row r="181" spans="1:17">
      <c r="A181" s="4"/>
      <c r="B181" s="4"/>
      <c r="C181" s="4"/>
      <c r="D181" s="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6"/>
    </row>
    <row r="182" spans="1:17">
      <c r="A182" s="4"/>
      <c r="B182" s="4"/>
      <c r="C182" s="4"/>
      <c r="D182" s="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6"/>
    </row>
    <row r="183" spans="1:17">
      <c r="A183" s="4"/>
      <c r="B183" s="4"/>
      <c r="C183" s="4"/>
      <c r="D183" s="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6"/>
    </row>
    <row r="184" spans="1:17">
      <c r="A184" s="4"/>
      <c r="B184" s="4"/>
      <c r="C184" s="4"/>
      <c r="D184" s="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6"/>
    </row>
    <row r="185" spans="1:17">
      <c r="A185" s="4"/>
      <c r="B185" s="4"/>
      <c r="C185" s="4"/>
      <c r="D185" s="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6"/>
    </row>
    <row r="186" spans="1:17">
      <c r="A186" s="4"/>
      <c r="B186" s="4"/>
      <c r="C186" s="4"/>
      <c r="D186" s="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6"/>
    </row>
    <row r="187" spans="1:17">
      <c r="A187" s="4"/>
      <c r="B187" s="4"/>
      <c r="C187" s="4"/>
      <c r="D187" s="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6"/>
    </row>
    <row r="188" spans="1:17">
      <c r="A188" s="4"/>
      <c r="B188" s="4"/>
      <c r="C188" s="4"/>
      <c r="D188" s="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6"/>
    </row>
    <row r="189" spans="1:17">
      <c r="A189" s="4"/>
      <c r="B189" s="4"/>
      <c r="C189" s="4"/>
      <c r="D189" s="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6"/>
    </row>
    <row r="190" spans="1:17">
      <c r="A190" s="4"/>
      <c r="B190" s="4"/>
      <c r="C190" s="4"/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6"/>
    </row>
    <row r="191" spans="1:17">
      <c r="A191" s="4"/>
      <c r="B191" s="4"/>
      <c r="C191" s="4"/>
      <c r="D191" s="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6"/>
    </row>
    <row r="192" spans="1:17">
      <c r="A192" s="4"/>
      <c r="B192" s="4"/>
      <c r="C192" s="4"/>
      <c r="D192" s="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6"/>
    </row>
    <row r="193" spans="1:17">
      <c r="A193" s="4"/>
      <c r="B193" s="4"/>
      <c r="C193" s="4"/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6"/>
    </row>
    <row r="194" spans="1:17">
      <c r="A194" s="4"/>
      <c r="B194" s="4"/>
      <c r="C194" s="4"/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6"/>
    </row>
    <row r="195" spans="1:17">
      <c r="A195" s="4"/>
      <c r="B195" s="4"/>
      <c r="C195" s="4"/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6"/>
    </row>
    <row r="196" spans="1:17">
      <c r="A196" s="4"/>
      <c r="B196" s="4"/>
      <c r="C196" s="4"/>
      <c r="D196" s="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6"/>
    </row>
    <row r="197" spans="1:17">
      <c r="A197" s="4"/>
      <c r="B197" s="4"/>
      <c r="C197" s="4"/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6"/>
    </row>
    <row r="198" spans="1:17">
      <c r="A198" s="4"/>
      <c r="B198" s="4"/>
      <c r="C198" s="4"/>
      <c r="D198" s="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6"/>
    </row>
    <row r="199" spans="1:17">
      <c r="A199" s="4"/>
      <c r="B199" s="4"/>
      <c r="C199" s="4"/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6"/>
    </row>
    <row r="200" spans="1:17">
      <c r="A200" s="4"/>
      <c r="B200" s="4"/>
      <c r="C200" s="4"/>
      <c r="D200" s="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6"/>
    </row>
    <row r="201" spans="1:17">
      <c r="A201" s="4"/>
      <c r="B201" s="4"/>
      <c r="C201" s="4"/>
      <c r="D201" s="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6"/>
    </row>
    <row r="202" spans="1:17">
      <c r="A202" s="4"/>
      <c r="B202" s="4"/>
      <c r="C202" s="4"/>
      <c r="D202" s="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6"/>
    </row>
    <row r="203" spans="1:17">
      <c r="A203" s="4"/>
      <c r="B203" s="4"/>
      <c r="C203" s="4"/>
      <c r="D203" s="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6"/>
    </row>
    <row r="204" spans="1:17">
      <c r="A204" s="4"/>
      <c r="B204" s="4"/>
      <c r="C204" s="4"/>
      <c r="D204" s="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6"/>
    </row>
    <row r="205" spans="1:17">
      <c r="A205" s="4"/>
      <c r="B205" s="4"/>
      <c r="C205" s="4"/>
      <c r="D205" s="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6"/>
    </row>
    <row r="206" spans="1:17">
      <c r="A206" s="4"/>
      <c r="B206" s="4"/>
      <c r="C206" s="4"/>
      <c r="D206" s="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6"/>
    </row>
    <row r="207" spans="1:17">
      <c r="A207" s="4"/>
      <c r="B207" s="4"/>
      <c r="C207" s="4"/>
      <c r="D207" s="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6"/>
    </row>
    <row r="208" spans="1:17">
      <c r="A208" s="4"/>
      <c r="B208" s="4"/>
      <c r="C208" s="4"/>
      <c r="D208" s="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6"/>
    </row>
    <row r="209" spans="1:17">
      <c r="A209" s="4"/>
      <c r="B209" s="4"/>
      <c r="C209" s="4"/>
      <c r="D209" s="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6"/>
    </row>
    <row r="210" spans="1:17">
      <c r="A210" s="4"/>
      <c r="B210" s="4"/>
      <c r="C210" s="4"/>
      <c r="D210" s="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6"/>
    </row>
    <row r="211" spans="1:17">
      <c r="A211" s="4"/>
      <c r="B211" s="4"/>
      <c r="C211" s="4"/>
      <c r="D211" s="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6"/>
    </row>
    <row r="212" spans="1:17">
      <c r="A212" s="4"/>
      <c r="B212" s="4"/>
      <c r="C212" s="4"/>
      <c r="D212" s="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6"/>
    </row>
    <row r="213" spans="1:17">
      <c r="A213" s="4"/>
      <c r="B213" s="4"/>
      <c r="C213" s="4"/>
      <c r="D213" s="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6"/>
    </row>
    <row r="214" spans="1:17">
      <c r="A214" s="4"/>
      <c r="B214" s="4"/>
      <c r="C214" s="4"/>
      <c r="D214" s="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6"/>
    </row>
    <row r="215" spans="1:17">
      <c r="A215" s="4"/>
      <c r="B215" s="4"/>
      <c r="C215" s="4"/>
      <c r="D215" s="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6"/>
    </row>
    <row r="216" spans="1:17">
      <c r="A216" s="4"/>
      <c r="B216" s="4"/>
      <c r="C216" s="4"/>
      <c r="D216" s="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6"/>
    </row>
    <row r="217" spans="1:17">
      <c r="A217" s="4"/>
      <c r="B217" s="4"/>
      <c r="C217" s="4"/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6"/>
    </row>
    <row r="218" spans="1:17">
      <c r="A218" s="4"/>
      <c r="B218" s="4"/>
      <c r="C218" s="4"/>
      <c r="D218" s="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6"/>
    </row>
    <row r="219" spans="1:17">
      <c r="A219" s="4"/>
      <c r="B219" s="4"/>
      <c r="C219" s="4"/>
      <c r="D219" s="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6"/>
    </row>
    <row r="220" spans="1:17">
      <c r="A220" s="4"/>
      <c r="B220" s="4"/>
      <c r="C220" s="4"/>
      <c r="D220" s="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6"/>
    </row>
    <row r="221" spans="1:17">
      <c r="A221" s="4"/>
      <c r="B221" s="4"/>
      <c r="C221" s="4"/>
      <c r="D221" s="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6"/>
    </row>
    <row r="222" spans="1:17">
      <c r="A222" s="4"/>
      <c r="B222" s="4"/>
      <c r="C222" s="4"/>
      <c r="D222" s="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6"/>
    </row>
    <row r="223" spans="1:17">
      <c r="A223" s="4"/>
      <c r="B223" s="4"/>
      <c r="C223" s="4"/>
      <c r="D223" s="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6"/>
    </row>
    <row r="224" spans="1:17">
      <c r="A224" s="4"/>
      <c r="B224" s="4"/>
      <c r="C224" s="4"/>
      <c r="D224" s="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6"/>
    </row>
    <row r="225" spans="1:17">
      <c r="A225" s="4"/>
      <c r="B225" s="4"/>
      <c r="C225" s="4"/>
      <c r="D225" s="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6"/>
    </row>
    <row r="226" spans="1:17">
      <c r="A226" s="4"/>
      <c r="B226" s="4"/>
      <c r="C226" s="4"/>
      <c r="D226" s="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6"/>
    </row>
    <row r="227" spans="1:17">
      <c r="A227" s="4"/>
      <c r="B227" s="4"/>
      <c r="C227" s="4"/>
      <c r="D227" s="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6"/>
    </row>
    <row r="228" spans="1:17">
      <c r="A228" s="4"/>
      <c r="B228" s="4"/>
      <c r="C228" s="4"/>
      <c r="D228" s="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6"/>
    </row>
    <row r="229" spans="1:17">
      <c r="A229" s="4"/>
      <c r="B229" s="4"/>
      <c r="C229" s="4"/>
      <c r="D229" s="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6"/>
    </row>
    <row r="230" spans="1:17">
      <c r="A230" s="4"/>
      <c r="B230" s="4"/>
      <c r="C230" s="4"/>
      <c r="D230" s="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6"/>
    </row>
    <row r="231" spans="1:17">
      <c r="A231" s="4"/>
      <c r="B231" s="4"/>
      <c r="C231" s="4"/>
      <c r="D231" s="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6"/>
    </row>
    <row r="232" spans="1:17">
      <c r="A232" s="4"/>
      <c r="B232" s="4"/>
      <c r="C232" s="4"/>
      <c r="D232" s="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6"/>
    </row>
    <row r="233" spans="1:17">
      <c r="A233" s="4"/>
      <c r="B233" s="4"/>
      <c r="C233" s="4"/>
      <c r="D233" s="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6"/>
    </row>
    <row r="234" spans="1:17">
      <c r="A234" s="4"/>
      <c r="B234" s="4"/>
      <c r="C234" s="4"/>
      <c r="D234" s="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6"/>
    </row>
    <row r="235" spans="1:17">
      <c r="A235" s="4"/>
      <c r="B235" s="4"/>
      <c r="C235" s="4"/>
      <c r="D235" s="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6"/>
    </row>
    <row r="236" spans="1:17">
      <c r="A236" s="4"/>
      <c r="B236" s="4"/>
      <c r="C236" s="4"/>
      <c r="D236" s="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6"/>
    </row>
    <row r="237" spans="1:17">
      <c r="A237" s="4"/>
      <c r="B237" s="4"/>
      <c r="C237" s="4"/>
      <c r="D237" s="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6"/>
    </row>
    <row r="238" spans="1:17">
      <c r="A238" s="4"/>
      <c r="B238" s="4"/>
      <c r="C238" s="4"/>
      <c r="D238" s="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6"/>
    </row>
    <row r="239" spans="1:17">
      <c r="A239" s="4"/>
      <c r="B239" s="4"/>
      <c r="C239" s="4"/>
      <c r="D239" s="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6"/>
    </row>
    <row r="240" spans="1:17">
      <c r="A240" s="4"/>
      <c r="B240" s="4"/>
      <c r="C240" s="4"/>
      <c r="D240" s="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6"/>
    </row>
    <row r="241" spans="1:17">
      <c r="A241" s="4"/>
      <c r="B241" s="4"/>
      <c r="C241" s="4"/>
      <c r="D241" s="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6"/>
    </row>
    <row r="242" spans="1:17">
      <c r="A242" s="4"/>
      <c r="B242" s="4"/>
      <c r="C242" s="4"/>
      <c r="D242" s="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6"/>
    </row>
    <row r="243" spans="1:17">
      <c r="A243" s="4"/>
      <c r="B243" s="4"/>
      <c r="C243" s="4"/>
      <c r="D243" s="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6"/>
    </row>
    <row r="244" spans="1:17">
      <c r="A244" s="4"/>
      <c r="B244" s="4"/>
      <c r="C244" s="4"/>
      <c r="D244" s="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6"/>
    </row>
    <row r="245" spans="1:17">
      <c r="A245" s="4"/>
      <c r="B245" s="4"/>
      <c r="C245" s="4"/>
      <c r="D245" s="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6"/>
    </row>
    <row r="246" spans="1:17">
      <c r="A246" s="4"/>
      <c r="B246" s="4"/>
      <c r="C246" s="4"/>
      <c r="D246" s="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6"/>
    </row>
    <row r="247" spans="1:17">
      <c r="A247" s="4"/>
      <c r="B247" s="4"/>
      <c r="C247" s="4"/>
      <c r="D247" s="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6"/>
    </row>
    <row r="248" spans="1:17">
      <c r="A248" s="4"/>
      <c r="B248" s="4"/>
      <c r="C248" s="4"/>
      <c r="D248" s="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6"/>
    </row>
    <row r="249" spans="1:17">
      <c r="A249" s="4"/>
      <c r="B249" s="4"/>
      <c r="C249" s="4"/>
      <c r="D249" s="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6"/>
    </row>
    <row r="250" spans="1:17">
      <c r="A250" s="4"/>
      <c r="B250" s="4"/>
      <c r="C250" s="4"/>
      <c r="D250" s="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6"/>
    </row>
    <row r="251" spans="1:17">
      <c r="A251" s="4"/>
      <c r="B251" s="4"/>
      <c r="C251" s="4"/>
      <c r="D251" s="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6"/>
    </row>
    <row r="252" spans="1:17">
      <c r="A252" s="4"/>
      <c r="B252" s="4"/>
      <c r="C252" s="4"/>
      <c r="D252" s="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6"/>
    </row>
    <row r="253" spans="1:17">
      <c r="A253" s="4"/>
      <c r="B253" s="4"/>
      <c r="C253" s="4"/>
      <c r="D253" s="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6"/>
    </row>
    <row r="254" spans="1:17">
      <c r="A254" s="4"/>
      <c r="B254" s="4"/>
      <c r="C254" s="4"/>
      <c r="D254" s="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6"/>
    </row>
    <row r="255" spans="1:17">
      <c r="A255" s="4"/>
      <c r="B255" s="4"/>
      <c r="C255" s="4"/>
      <c r="D255" s="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6"/>
    </row>
    <row r="256" spans="1:17">
      <c r="A256" s="4"/>
      <c r="B256" s="4"/>
      <c r="C256" s="4"/>
      <c r="D256" s="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6"/>
    </row>
    <row r="257" spans="1:17">
      <c r="A257" s="4"/>
      <c r="B257" s="4"/>
      <c r="C257" s="4"/>
      <c r="D257" s="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6"/>
    </row>
    <row r="258" spans="1:17">
      <c r="A258" s="4"/>
      <c r="B258" s="4"/>
      <c r="C258" s="4"/>
      <c r="D258" s="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6"/>
    </row>
    <row r="259" spans="1:17">
      <c r="A259" s="4"/>
      <c r="B259" s="4"/>
      <c r="C259" s="4"/>
      <c r="D259" s="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6"/>
    </row>
    <row r="260" spans="1:17">
      <c r="A260" s="4"/>
      <c r="B260" s="4"/>
      <c r="C260" s="4"/>
      <c r="D260" s="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6"/>
    </row>
    <row r="261" spans="1:17">
      <c r="A261" s="4"/>
      <c r="B261" s="4"/>
      <c r="C261" s="4"/>
      <c r="D261" s="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6"/>
    </row>
    <row r="262" spans="1:17">
      <c r="A262" s="4"/>
      <c r="B262" s="4"/>
      <c r="C262" s="4"/>
      <c r="D262" s="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6"/>
    </row>
    <row r="263" spans="1:17">
      <c r="A263" s="4"/>
      <c r="B263" s="4"/>
      <c r="C263" s="4"/>
      <c r="D263" s="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6"/>
    </row>
    <row r="264" spans="1:17">
      <c r="A264" s="4"/>
      <c r="B264" s="4"/>
      <c r="C264" s="4"/>
      <c r="D264" s="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6"/>
    </row>
    <row r="265" spans="1:17">
      <c r="A265" s="4"/>
      <c r="B265" s="4"/>
      <c r="C265" s="4"/>
      <c r="D265" s="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6"/>
    </row>
    <row r="266" spans="1:17">
      <c r="A266" s="4"/>
      <c r="B266" s="4"/>
      <c r="C266" s="4"/>
      <c r="D266" s="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6"/>
    </row>
    <row r="267" spans="1:17">
      <c r="A267" s="4"/>
      <c r="B267" s="4"/>
      <c r="C267" s="4"/>
      <c r="D267" s="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6"/>
    </row>
    <row r="268" spans="1:17">
      <c r="A268" s="4"/>
      <c r="B268" s="4"/>
      <c r="C268" s="4"/>
      <c r="D268" s="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6"/>
    </row>
    <row r="269" spans="1:17">
      <c r="A269" s="4"/>
      <c r="B269" s="4"/>
      <c r="C269" s="4"/>
      <c r="D269" s="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6"/>
    </row>
    <row r="270" spans="1:17">
      <c r="A270" s="4"/>
      <c r="B270" s="4"/>
      <c r="C270" s="4"/>
      <c r="D270" s="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6"/>
    </row>
    <row r="271" spans="1:17">
      <c r="A271" s="4"/>
      <c r="B271" s="4"/>
      <c r="C271" s="4"/>
      <c r="D271" s="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6"/>
    </row>
    <row r="272" spans="1:17">
      <c r="A272" s="4"/>
      <c r="B272" s="4"/>
      <c r="C272" s="4"/>
      <c r="D272" s="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6"/>
    </row>
    <row r="273" spans="1:17">
      <c r="A273" s="4"/>
      <c r="B273" s="4"/>
      <c r="C273" s="4"/>
      <c r="D273" s="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6"/>
    </row>
    <row r="274" spans="1:17">
      <c r="A274" s="4"/>
      <c r="B274" s="4"/>
      <c r="C274" s="4"/>
      <c r="D274" s="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6"/>
    </row>
    <row r="275" spans="1:17">
      <c r="A275" s="4"/>
      <c r="B275" s="4"/>
      <c r="C275" s="4"/>
      <c r="D275" s="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6"/>
    </row>
    <row r="276" spans="1:17">
      <c r="A276" s="4"/>
      <c r="B276" s="4"/>
      <c r="C276" s="4"/>
      <c r="D276" s="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6"/>
    </row>
    <row r="277" spans="1:17">
      <c r="A277" s="4"/>
      <c r="B277" s="4"/>
      <c r="C277" s="4"/>
      <c r="D277" s="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6"/>
    </row>
    <row r="278" spans="1:17">
      <c r="A278" s="4"/>
      <c r="B278" s="4"/>
      <c r="C278" s="4"/>
      <c r="D278" s="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6"/>
    </row>
    <row r="279" spans="1:17">
      <c r="A279" s="4"/>
      <c r="B279" s="4"/>
      <c r="C279" s="4"/>
      <c r="D279" s="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6"/>
    </row>
    <row r="280" spans="1:17">
      <c r="A280" s="4"/>
      <c r="B280" s="4"/>
      <c r="C280" s="4"/>
      <c r="D280" s="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6"/>
    </row>
    <row r="281" spans="1:17">
      <c r="A281" s="4"/>
      <c r="B281" s="4"/>
      <c r="C281" s="4"/>
      <c r="D281" s="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6"/>
    </row>
    <row r="282" spans="1:17">
      <c r="A282" s="4"/>
      <c r="B282" s="4"/>
      <c r="C282" s="4"/>
      <c r="D282" s="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6"/>
    </row>
    <row r="283" spans="1:17">
      <c r="A283" s="4"/>
      <c r="B283" s="4"/>
      <c r="C283" s="4"/>
      <c r="D283" s="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6"/>
    </row>
    <row r="284" spans="1:17">
      <c r="A284" s="4"/>
      <c r="B284" s="4"/>
      <c r="C284" s="4"/>
      <c r="D284" s="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6"/>
    </row>
    <row r="285" spans="1:17">
      <c r="A285" s="4"/>
      <c r="B285" s="4"/>
      <c r="C285" s="4"/>
      <c r="D285" s="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6"/>
    </row>
    <row r="286" spans="1:17">
      <c r="A286" s="4"/>
      <c r="B286" s="4"/>
      <c r="C286" s="4"/>
      <c r="D286" s="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6"/>
    </row>
    <row r="287" spans="1:17">
      <c r="A287" s="4"/>
      <c r="B287" s="4"/>
      <c r="C287" s="4"/>
      <c r="D287" s="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6"/>
    </row>
    <row r="288" spans="1:17">
      <c r="A288" s="4"/>
      <c r="B288" s="4"/>
      <c r="C288" s="4"/>
      <c r="D288" s="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6"/>
    </row>
    <row r="289" spans="1:17">
      <c r="A289" s="4"/>
      <c r="B289" s="4"/>
      <c r="C289" s="4"/>
      <c r="D289" s="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6"/>
    </row>
    <row r="290" spans="1:17">
      <c r="A290" s="4"/>
      <c r="B290" s="4"/>
      <c r="C290" s="4"/>
      <c r="D290" s="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6"/>
    </row>
    <row r="291" spans="1:17">
      <c r="A291" s="4"/>
      <c r="B291" s="4"/>
      <c r="C291" s="4"/>
      <c r="D291" s="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6"/>
    </row>
    <row r="292" spans="1:17">
      <c r="A292" s="4"/>
      <c r="B292" s="4"/>
      <c r="C292" s="4"/>
      <c r="D292" s="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6"/>
    </row>
    <row r="293" spans="1:17">
      <c r="A293" s="4"/>
      <c r="B293" s="4"/>
      <c r="C293" s="4"/>
      <c r="D293" s="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6"/>
    </row>
    <row r="294" spans="1:17">
      <c r="A294" s="4"/>
      <c r="B294" s="4"/>
      <c r="C294" s="4"/>
      <c r="D294" s="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6"/>
    </row>
    <row r="295" spans="1:17">
      <c r="A295" s="4"/>
      <c r="B295" s="4"/>
      <c r="C295" s="4"/>
      <c r="D295" s="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6"/>
    </row>
    <row r="296" spans="1:17">
      <c r="A296" s="4"/>
      <c r="B296" s="4"/>
      <c r="C296" s="4"/>
      <c r="D296" s="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6"/>
    </row>
    <row r="297" spans="1:17">
      <c r="A297" s="4"/>
      <c r="B297" s="4"/>
      <c r="C297" s="4"/>
      <c r="D297" s="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6"/>
    </row>
    <row r="298" spans="1:17">
      <c r="A298" s="4"/>
      <c r="B298" s="4"/>
      <c r="C298" s="4"/>
      <c r="D298" s="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6"/>
    </row>
    <row r="299" spans="1:17">
      <c r="A299" s="4"/>
      <c r="B299" s="4"/>
      <c r="C299" s="4"/>
      <c r="D299" s="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6"/>
    </row>
    <row r="300" spans="1:17">
      <c r="A300" s="4"/>
      <c r="B300" s="4"/>
      <c r="C300" s="4"/>
      <c r="D300" s="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6"/>
    </row>
    <row r="301" spans="1:17">
      <c r="A301" s="4"/>
      <c r="B301" s="4"/>
      <c r="C301" s="4"/>
      <c r="D301" s="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6"/>
    </row>
  </sheetData>
  <conditionalFormatting sqref="N2:N301">
    <cfRule type="expression" dxfId="2" priority="1">
      <formula>N2="Red"</formula>
    </cfRule>
    <cfRule type="expression" dxfId="1" priority="2">
      <formula>N2="Yellow"</formula>
    </cfRule>
    <cfRule type="expression" dxfId="0" priority="3">
      <formula>N2="Green"</formula>
    </cfRule>
  </conditionalFormatting>
  <dataValidations count="2">
    <dataValidation type="list" sqref="C2:C1501" xr:uid="{00000000-0002-0000-0300-000000000000}">
      <formula1>"1,2,3,4,5,6,7,8,9,10,11,12,13,14,15"</formula1>
    </dataValidation>
    <dataValidation type="list" sqref="N2:N1501" xr:uid="{00000000-0002-0000-0300-000001000000}">
      <formula1>"Green,Yellow,Red"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01"/>
  <sheetViews>
    <sheetView workbookViewId="0"/>
  </sheetViews>
  <sheetFormatPr defaultRowHeight="14.25"/>
  <cols>
    <col min="1" max="1" width="13" customWidth="1"/>
    <col min="2" max="2" width="24" customWidth="1"/>
    <col min="3" max="3" width="14" customWidth="1"/>
    <col min="4" max="4" width="24" customWidth="1"/>
    <col min="5" max="5" width="14" customWidth="1"/>
    <col min="6" max="6" width="48" customWidth="1"/>
    <col min="7" max="7" width="20" customWidth="1"/>
    <col min="8" max="8" width="34" customWidth="1"/>
    <col min="9" max="9" width="38" customWidth="1"/>
    <col min="10" max="10" width="14" customWidth="1"/>
  </cols>
  <sheetData>
    <row r="1" spans="1:10" ht="30">
      <c r="A1" s="3" t="s">
        <v>932</v>
      </c>
      <c r="B1" s="3" t="s">
        <v>933</v>
      </c>
      <c r="C1" s="3" t="s">
        <v>942</v>
      </c>
      <c r="D1" s="3" t="s">
        <v>990</v>
      </c>
      <c r="E1" s="3" t="s">
        <v>991</v>
      </c>
      <c r="F1" s="3" t="s">
        <v>992</v>
      </c>
      <c r="G1" s="3" t="s">
        <v>14</v>
      </c>
      <c r="H1" s="3" t="s">
        <v>993</v>
      </c>
      <c r="I1" s="3" t="s">
        <v>994</v>
      </c>
      <c r="J1" s="3" t="s">
        <v>995</v>
      </c>
    </row>
    <row r="2" spans="1:10" ht="28.5">
      <c r="A2" s="4"/>
      <c r="B2" s="4"/>
      <c r="C2" s="4"/>
      <c r="D2" s="4" t="s">
        <v>996</v>
      </c>
      <c r="E2" s="4" t="s">
        <v>997</v>
      </c>
      <c r="F2" s="4" t="s">
        <v>998</v>
      </c>
      <c r="G2" s="4" t="s">
        <v>999</v>
      </c>
      <c r="H2" s="4"/>
      <c r="I2" s="4"/>
      <c r="J2" s="6"/>
    </row>
    <row r="3" spans="1:10" ht="28.5">
      <c r="A3" s="4"/>
      <c r="B3" s="4"/>
      <c r="C3" s="4"/>
      <c r="D3" s="4" t="s">
        <v>1000</v>
      </c>
      <c r="E3" s="4" t="s">
        <v>1001</v>
      </c>
      <c r="F3" s="4" t="s">
        <v>1002</v>
      </c>
      <c r="G3" s="4" t="s">
        <v>999</v>
      </c>
      <c r="H3" s="4"/>
      <c r="I3" s="4"/>
      <c r="J3" s="6"/>
    </row>
    <row r="4" spans="1:10" ht="28.5">
      <c r="A4" s="4"/>
      <c r="B4" s="4"/>
      <c r="C4" s="4"/>
      <c r="D4" s="4" t="s">
        <v>1003</v>
      </c>
      <c r="E4" s="4" t="s">
        <v>1004</v>
      </c>
      <c r="F4" s="4" t="s">
        <v>1005</v>
      </c>
      <c r="G4" s="4" t="s">
        <v>999</v>
      </c>
      <c r="H4" s="4"/>
      <c r="I4" s="4"/>
      <c r="J4" s="6"/>
    </row>
    <row r="5" spans="1:10" ht="28.5">
      <c r="A5" s="4"/>
      <c r="B5" s="4"/>
      <c r="C5" s="4"/>
      <c r="D5" s="4" t="s">
        <v>1006</v>
      </c>
      <c r="E5" s="4" t="s">
        <v>1007</v>
      </c>
      <c r="F5" s="4" t="s">
        <v>1008</v>
      </c>
      <c r="G5" s="4" t="s">
        <v>999</v>
      </c>
      <c r="H5" s="4"/>
      <c r="I5" s="4"/>
      <c r="J5" s="6"/>
    </row>
    <row r="6" spans="1:10">
      <c r="A6" s="4"/>
      <c r="B6" s="4"/>
      <c r="C6" s="4"/>
      <c r="D6" s="4" t="s">
        <v>1009</v>
      </c>
      <c r="E6" s="4" t="s">
        <v>1010</v>
      </c>
      <c r="F6" s="4" t="s">
        <v>1011</v>
      </c>
      <c r="G6" s="4" t="s">
        <v>999</v>
      </c>
      <c r="H6" s="4"/>
      <c r="I6" s="4"/>
      <c r="J6" s="6"/>
    </row>
    <row r="7" spans="1:10" ht="28.5">
      <c r="A7" s="4"/>
      <c r="B7" s="4"/>
      <c r="C7" s="4"/>
      <c r="D7" s="4" t="s">
        <v>1012</v>
      </c>
      <c r="E7" s="4" t="s">
        <v>1013</v>
      </c>
      <c r="F7" s="4" t="s">
        <v>1014</v>
      </c>
      <c r="G7" s="4" t="s">
        <v>999</v>
      </c>
      <c r="H7" s="4"/>
      <c r="I7" s="4"/>
      <c r="J7" s="6"/>
    </row>
    <row r="8" spans="1:10" ht="28.5">
      <c r="A8" s="4"/>
      <c r="B8" s="4"/>
      <c r="C8" s="4"/>
      <c r="D8" s="4" t="s">
        <v>996</v>
      </c>
      <c r="E8" s="4" t="s">
        <v>997</v>
      </c>
      <c r="F8" s="4" t="s">
        <v>998</v>
      </c>
      <c r="G8" s="4" t="s">
        <v>999</v>
      </c>
      <c r="H8" s="4"/>
      <c r="I8" s="4"/>
      <c r="J8" s="6"/>
    </row>
    <row r="9" spans="1:10" ht="28.5">
      <c r="A9" s="4"/>
      <c r="B9" s="4"/>
      <c r="C9" s="4"/>
      <c r="D9" s="4" t="s">
        <v>1000</v>
      </c>
      <c r="E9" s="4" t="s">
        <v>1001</v>
      </c>
      <c r="F9" s="4" t="s">
        <v>1002</v>
      </c>
      <c r="G9" s="4" t="s">
        <v>999</v>
      </c>
      <c r="H9" s="4"/>
      <c r="I9" s="4"/>
      <c r="J9" s="6"/>
    </row>
    <row r="10" spans="1:10" ht="28.5">
      <c r="A10" s="4"/>
      <c r="B10" s="4"/>
      <c r="C10" s="4"/>
      <c r="D10" s="4" t="s">
        <v>1003</v>
      </c>
      <c r="E10" s="4" t="s">
        <v>1004</v>
      </c>
      <c r="F10" s="4" t="s">
        <v>1005</v>
      </c>
      <c r="G10" s="4" t="s">
        <v>999</v>
      </c>
      <c r="H10" s="4"/>
      <c r="I10" s="4"/>
      <c r="J10" s="6"/>
    </row>
    <row r="11" spans="1:10" ht="28.5">
      <c r="A11" s="4"/>
      <c r="B11" s="4"/>
      <c r="C11" s="4"/>
      <c r="D11" s="4" t="s">
        <v>1006</v>
      </c>
      <c r="E11" s="4" t="s">
        <v>1007</v>
      </c>
      <c r="F11" s="4" t="s">
        <v>1008</v>
      </c>
      <c r="G11" s="4" t="s">
        <v>999</v>
      </c>
      <c r="H11" s="4"/>
      <c r="I11" s="4"/>
      <c r="J11" s="6"/>
    </row>
    <row r="12" spans="1:10">
      <c r="A12" s="4"/>
      <c r="B12" s="4"/>
      <c r="C12" s="4"/>
      <c r="D12" s="4" t="s">
        <v>1009</v>
      </c>
      <c r="E12" s="4" t="s">
        <v>1010</v>
      </c>
      <c r="F12" s="4" t="s">
        <v>1011</v>
      </c>
      <c r="G12" s="4" t="s">
        <v>999</v>
      </c>
      <c r="H12" s="4"/>
      <c r="I12" s="4"/>
      <c r="J12" s="6"/>
    </row>
    <row r="13" spans="1:10" ht="28.5">
      <c r="A13" s="4"/>
      <c r="B13" s="4"/>
      <c r="C13" s="4"/>
      <c r="D13" s="4" t="s">
        <v>1012</v>
      </c>
      <c r="E13" s="4" t="s">
        <v>1013</v>
      </c>
      <c r="F13" s="4" t="s">
        <v>1014</v>
      </c>
      <c r="G13" s="4" t="s">
        <v>999</v>
      </c>
      <c r="H13" s="4"/>
      <c r="I13" s="4"/>
      <c r="J13" s="6"/>
    </row>
    <row r="14" spans="1:10" ht="28.5">
      <c r="A14" s="4"/>
      <c r="B14" s="4"/>
      <c r="C14" s="4"/>
      <c r="D14" s="4" t="s">
        <v>996</v>
      </c>
      <c r="E14" s="4" t="s">
        <v>997</v>
      </c>
      <c r="F14" s="4" t="s">
        <v>998</v>
      </c>
      <c r="G14" s="4" t="s">
        <v>999</v>
      </c>
      <c r="H14" s="4"/>
      <c r="I14" s="4"/>
      <c r="J14" s="6"/>
    </row>
    <row r="15" spans="1:10" ht="28.5">
      <c r="A15" s="4"/>
      <c r="B15" s="4"/>
      <c r="C15" s="4"/>
      <c r="D15" s="4" t="s">
        <v>1000</v>
      </c>
      <c r="E15" s="4" t="s">
        <v>1001</v>
      </c>
      <c r="F15" s="4" t="s">
        <v>1002</v>
      </c>
      <c r="G15" s="4" t="s">
        <v>999</v>
      </c>
      <c r="H15" s="4"/>
      <c r="I15" s="4"/>
      <c r="J15" s="6"/>
    </row>
    <row r="16" spans="1:10" ht="28.5">
      <c r="A16" s="4"/>
      <c r="B16" s="4"/>
      <c r="C16" s="4"/>
      <c r="D16" s="4" t="s">
        <v>1003</v>
      </c>
      <c r="E16" s="4" t="s">
        <v>1004</v>
      </c>
      <c r="F16" s="4" t="s">
        <v>1005</v>
      </c>
      <c r="G16" s="4" t="s">
        <v>999</v>
      </c>
      <c r="H16" s="4"/>
      <c r="I16" s="4"/>
      <c r="J16" s="6"/>
    </row>
    <row r="17" spans="1:10" ht="28.5">
      <c r="A17" s="4"/>
      <c r="B17" s="4"/>
      <c r="C17" s="4"/>
      <c r="D17" s="4" t="s">
        <v>1006</v>
      </c>
      <c r="E17" s="4" t="s">
        <v>1007</v>
      </c>
      <c r="F17" s="4" t="s">
        <v>1008</v>
      </c>
      <c r="G17" s="4" t="s">
        <v>999</v>
      </c>
      <c r="H17" s="4"/>
      <c r="I17" s="4"/>
      <c r="J17" s="6"/>
    </row>
    <row r="18" spans="1:10">
      <c r="A18" s="4"/>
      <c r="B18" s="4"/>
      <c r="C18" s="4"/>
      <c r="D18" s="4" t="s">
        <v>1009</v>
      </c>
      <c r="E18" s="4" t="s">
        <v>1010</v>
      </c>
      <c r="F18" s="4" t="s">
        <v>1011</v>
      </c>
      <c r="G18" s="4" t="s">
        <v>999</v>
      </c>
      <c r="H18" s="4"/>
      <c r="I18" s="4"/>
      <c r="J18" s="6"/>
    </row>
    <row r="19" spans="1:10" ht="28.5">
      <c r="A19" s="4"/>
      <c r="B19" s="4"/>
      <c r="C19" s="4"/>
      <c r="D19" s="4" t="s">
        <v>1012</v>
      </c>
      <c r="E19" s="4" t="s">
        <v>1013</v>
      </c>
      <c r="F19" s="4" t="s">
        <v>1014</v>
      </c>
      <c r="G19" s="4" t="s">
        <v>999</v>
      </c>
      <c r="H19" s="4"/>
      <c r="I19" s="4"/>
      <c r="J19" s="6"/>
    </row>
    <row r="20" spans="1:10" ht="28.5">
      <c r="A20" s="4"/>
      <c r="B20" s="4"/>
      <c r="C20" s="4"/>
      <c r="D20" s="4" t="s">
        <v>996</v>
      </c>
      <c r="E20" s="4" t="s">
        <v>997</v>
      </c>
      <c r="F20" s="4" t="s">
        <v>998</v>
      </c>
      <c r="G20" s="4" t="s">
        <v>999</v>
      </c>
      <c r="H20" s="4"/>
      <c r="I20" s="4"/>
      <c r="J20" s="6"/>
    </row>
    <row r="21" spans="1:10" ht="28.5">
      <c r="A21" s="4"/>
      <c r="B21" s="4"/>
      <c r="C21" s="4"/>
      <c r="D21" s="4" t="s">
        <v>1000</v>
      </c>
      <c r="E21" s="4" t="s">
        <v>1001</v>
      </c>
      <c r="F21" s="4" t="s">
        <v>1002</v>
      </c>
      <c r="G21" s="4" t="s">
        <v>999</v>
      </c>
      <c r="H21" s="4"/>
      <c r="I21" s="4"/>
      <c r="J21" s="6"/>
    </row>
    <row r="22" spans="1:10" ht="28.5">
      <c r="A22" s="4"/>
      <c r="B22" s="4"/>
      <c r="C22" s="4"/>
      <c r="D22" s="4" t="s">
        <v>1003</v>
      </c>
      <c r="E22" s="4" t="s">
        <v>1004</v>
      </c>
      <c r="F22" s="4" t="s">
        <v>1005</v>
      </c>
      <c r="G22" s="4" t="s">
        <v>999</v>
      </c>
      <c r="H22" s="4"/>
      <c r="I22" s="4"/>
      <c r="J22" s="6"/>
    </row>
    <row r="23" spans="1:10" ht="28.5">
      <c r="A23" s="4"/>
      <c r="B23" s="4"/>
      <c r="C23" s="4"/>
      <c r="D23" s="4" t="s">
        <v>1006</v>
      </c>
      <c r="E23" s="4" t="s">
        <v>1007</v>
      </c>
      <c r="F23" s="4" t="s">
        <v>1008</v>
      </c>
      <c r="G23" s="4" t="s">
        <v>999</v>
      </c>
      <c r="H23" s="4"/>
      <c r="I23" s="4"/>
      <c r="J23" s="6"/>
    </row>
    <row r="24" spans="1:10">
      <c r="A24" s="4"/>
      <c r="B24" s="4"/>
      <c r="C24" s="4"/>
      <c r="D24" s="4" t="s">
        <v>1009</v>
      </c>
      <c r="E24" s="4" t="s">
        <v>1010</v>
      </c>
      <c r="F24" s="4" t="s">
        <v>1011</v>
      </c>
      <c r="G24" s="4" t="s">
        <v>999</v>
      </c>
      <c r="H24" s="4"/>
      <c r="I24" s="4"/>
      <c r="J24" s="6"/>
    </row>
    <row r="25" spans="1:10" ht="28.5">
      <c r="A25" s="4"/>
      <c r="B25" s="4"/>
      <c r="C25" s="4"/>
      <c r="D25" s="4" t="s">
        <v>1012</v>
      </c>
      <c r="E25" s="4" t="s">
        <v>1013</v>
      </c>
      <c r="F25" s="4" t="s">
        <v>1014</v>
      </c>
      <c r="G25" s="4" t="s">
        <v>999</v>
      </c>
      <c r="H25" s="4"/>
      <c r="I25" s="4"/>
      <c r="J25" s="6"/>
    </row>
    <row r="26" spans="1:10" ht="28.5">
      <c r="A26" s="4"/>
      <c r="B26" s="4"/>
      <c r="C26" s="4"/>
      <c r="D26" s="4" t="s">
        <v>996</v>
      </c>
      <c r="E26" s="4" t="s">
        <v>997</v>
      </c>
      <c r="F26" s="4" t="s">
        <v>998</v>
      </c>
      <c r="G26" s="4" t="s">
        <v>999</v>
      </c>
      <c r="H26" s="4"/>
      <c r="I26" s="4"/>
      <c r="J26" s="6"/>
    </row>
    <row r="27" spans="1:10" ht="28.5">
      <c r="A27" s="4"/>
      <c r="B27" s="4"/>
      <c r="C27" s="4"/>
      <c r="D27" s="4" t="s">
        <v>1000</v>
      </c>
      <c r="E27" s="4" t="s">
        <v>1001</v>
      </c>
      <c r="F27" s="4" t="s">
        <v>1002</v>
      </c>
      <c r="G27" s="4" t="s">
        <v>999</v>
      </c>
      <c r="H27" s="4"/>
      <c r="I27" s="4"/>
      <c r="J27" s="6"/>
    </row>
    <row r="28" spans="1:10" ht="28.5">
      <c r="A28" s="4"/>
      <c r="B28" s="4"/>
      <c r="C28" s="4"/>
      <c r="D28" s="4" t="s">
        <v>1003</v>
      </c>
      <c r="E28" s="4" t="s">
        <v>1004</v>
      </c>
      <c r="F28" s="4" t="s">
        <v>1005</v>
      </c>
      <c r="G28" s="4" t="s">
        <v>999</v>
      </c>
      <c r="H28" s="4"/>
      <c r="I28" s="4"/>
      <c r="J28" s="6"/>
    </row>
    <row r="29" spans="1:10" ht="28.5">
      <c r="A29" s="4"/>
      <c r="B29" s="4"/>
      <c r="C29" s="4"/>
      <c r="D29" s="4" t="s">
        <v>1006</v>
      </c>
      <c r="E29" s="4" t="s">
        <v>1007</v>
      </c>
      <c r="F29" s="4" t="s">
        <v>1008</v>
      </c>
      <c r="G29" s="4" t="s">
        <v>999</v>
      </c>
      <c r="H29" s="4"/>
      <c r="I29" s="4"/>
      <c r="J29" s="6"/>
    </row>
    <row r="30" spans="1:10">
      <c r="A30" s="4"/>
      <c r="B30" s="4"/>
      <c r="C30" s="4"/>
      <c r="D30" s="4" t="s">
        <v>1009</v>
      </c>
      <c r="E30" s="4" t="s">
        <v>1010</v>
      </c>
      <c r="F30" s="4" t="s">
        <v>1011</v>
      </c>
      <c r="G30" s="4" t="s">
        <v>999</v>
      </c>
      <c r="H30" s="4"/>
      <c r="I30" s="4"/>
      <c r="J30" s="6"/>
    </row>
    <row r="31" spans="1:10" ht="28.5">
      <c r="A31" s="4"/>
      <c r="B31" s="4"/>
      <c r="C31" s="4"/>
      <c r="D31" s="4" t="s">
        <v>1012</v>
      </c>
      <c r="E31" s="4" t="s">
        <v>1013</v>
      </c>
      <c r="F31" s="4" t="s">
        <v>1014</v>
      </c>
      <c r="G31" s="4" t="s">
        <v>999</v>
      </c>
      <c r="H31" s="4"/>
      <c r="I31" s="4"/>
      <c r="J31" s="6"/>
    </row>
    <row r="32" spans="1:10" ht="28.5">
      <c r="A32" s="4"/>
      <c r="B32" s="4"/>
      <c r="C32" s="4"/>
      <c r="D32" s="4" t="s">
        <v>996</v>
      </c>
      <c r="E32" s="4" t="s">
        <v>997</v>
      </c>
      <c r="F32" s="4" t="s">
        <v>998</v>
      </c>
      <c r="G32" s="4" t="s">
        <v>999</v>
      </c>
      <c r="H32" s="4"/>
      <c r="I32" s="4"/>
      <c r="J32" s="6"/>
    </row>
    <row r="33" spans="1:10" ht="28.5">
      <c r="A33" s="4"/>
      <c r="B33" s="4"/>
      <c r="C33" s="4"/>
      <c r="D33" s="4" t="s">
        <v>1000</v>
      </c>
      <c r="E33" s="4" t="s">
        <v>1001</v>
      </c>
      <c r="F33" s="4" t="s">
        <v>1002</v>
      </c>
      <c r="G33" s="4" t="s">
        <v>999</v>
      </c>
      <c r="H33" s="4"/>
      <c r="I33" s="4"/>
      <c r="J33" s="6"/>
    </row>
    <row r="34" spans="1:10" ht="28.5">
      <c r="A34" s="4"/>
      <c r="B34" s="4"/>
      <c r="C34" s="4"/>
      <c r="D34" s="4" t="s">
        <v>1003</v>
      </c>
      <c r="E34" s="4" t="s">
        <v>1004</v>
      </c>
      <c r="F34" s="4" t="s">
        <v>1005</v>
      </c>
      <c r="G34" s="4" t="s">
        <v>999</v>
      </c>
      <c r="H34" s="4"/>
      <c r="I34" s="4"/>
      <c r="J34" s="6"/>
    </row>
    <row r="35" spans="1:10" ht="28.5">
      <c r="A35" s="4"/>
      <c r="B35" s="4"/>
      <c r="C35" s="4"/>
      <c r="D35" s="4" t="s">
        <v>1006</v>
      </c>
      <c r="E35" s="4" t="s">
        <v>1007</v>
      </c>
      <c r="F35" s="4" t="s">
        <v>1008</v>
      </c>
      <c r="G35" s="4" t="s">
        <v>999</v>
      </c>
      <c r="H35" s="4"/>
      <c r="I35" s="4"/>
      <c r="J35" s="6"/>
    </row>
    <row r="36" spans="1:10">
      <c r="A36" s="4"/>
      <c r="B36" s="4"/>
      <c r="C36" s="4"/>
      <c r="D36" s="4" t="s">
        <v>1009</v>
      </c>
      <c r="E36" s="4" t="s">
        <v>1010</v>
      </c>
      <c r="F36" s="4" t="s">
        <v>1011</v>
      </c>
      <c r="G36" s="4" t="s">
        <v>999</v>
      </c>
      <c r="H36" s="4"/>
      <c r="I36" s="4"/>
      <c r="J36" s="6"/>
    </row>
    <row r="37" spans="1:10" ht="28.5">
      <c r="A37" s="4"/>
      <c r="B37" s="4"/>
      <c r="C37" s="4"/>
      <c r="D37" s="4" t="s">
        <v>1012</v>
      </c>
      <c r="E37" s="4" t="s">
        <v>1013</v>
      </c>
      <c r="F37" s="4" t="s">
        <v>1014</v>
      </c>
      <c r="G37" s="4" t="s">
        <v>999</v>
      </c>
      <c r="H37" s="4"/>
      <c r="I37" s="4"/>
      <c r="J37" s="6"/>
    </row>
    <row r="38" spans="1:10" ht="28.5">
      <c r="A38" s="4"/>
      <c r="B38" s="4"/>
      <c r="C38" s="4"/>
      <c r="D38" s="4" t="s">
        <v>996</v>
      </c>
      <c r="E38" s="4" t="s">
        <v>997</v>
      </c>
      <c r="F38" s="4" t="s">
        <v>998</v>
      </c>
      <c r="G38" s="4" t="s">
        <v>999</v>
      </c>
      <c r="H38" s="4"/>
      <c r="I38" s="4"/>
      <c r="J38" s="6"/>
    </row>
    <row r="39" spans="1:10" ht="28.5">
      <c r="A39" s="4"/>
      <c r="B39" s="4"/>
      <c r="C39" s="4"/>
      <c r="D39" s="4" t="s">
        <v>1000</v>
      </c>
      <c r="E39" s="4" t="s">
        <v>1001</v>
      </c>
      <c r="F39" s="4" t="s">
        <v>1002</v>
      </c>
      <c r="G39" s="4" t="s">
        <v>999</v>
      </c>
      <c r="H39" s="4"/>
      <c r="I39" s="4"/>
      <c r="J39" s="6"/>
    </row>
    <row r="40" spans="1:10" ht="28.5">
      <c r="A40" s="4"/>
      <c r="B40" s="4"/>
      <c r="C40" s="4"/>
      <c r="D40" s="4" t="s">
        <v>1003</v>
      </c>
      <c r="E40" s="4" t="s">
        <v>1004</v>
      </c>
      <c r="F40" s="4" t="s">
        <v>1005</v>
      </c>
      <c r="G40" s="4" t="s">
        <v>999</v>
      </c>
      <c r="H40" s="4"/>
      <c r="I40" s="4"/>
      <c r="J40" s="6"/>
    </row>
    <row r="41" spans="1:10" ht="28.5">
      <c r="A41" s="4"/>
      <c r="B41" s="4"/>
      <c r="C41" s="4"/>
      <c r="D41" s="4" t="s">
        <v>1006</v>
      </c>
      <c r="E41" s="4" t="s">
        <v>1007</v>
      </c>
      <c r="F41" s="4" t="s">
        <v>1008</v>
      </c>
      <c r="G41" s="4" t="s">
        <v>999</v>
      </c>
      <c r="H41" s="4"/>
      <c r="I41" s="4"/>
      <c r="J41" s="6"/>
    </row>
    <row r="42" spans="1:10">
      <c r="A42" s="4"/>
      <c r="B42" s="4"/>
      <c r="C42" s="4"/>
      <c r="D42" s="4" t="s">
        <v>1009</v>
      </c>
      <c r="E42" s="4" t="s">
        <v>1010</v>
      </c>
      <c r="F42" s="4" t="s">
        <v>1011</v>
      </c>
      <c r="G42" s="4" t="s">
        <v>999</v>
      </c>
      <c r="H42" s="4"/>
      <c r="I42" s="4"/>
      <c r="J42" s="6"/>
    </row>
    <row r="43" spans="1:10" ht="28.5">
      <c r="A43" s="4"/>
      <c r="B43" s="4"/>
      <c r="C43" s="4"/>
      <c r="D43" s="4" t="s">
        <v>1012</v>
      </c>
      <c r="E43" s="4" t="s">
        <v>1013</v>
      </c>
      <c r="F43" s="4" t="s">
        <v>1014</v>
      </c>
      <c r="G43" s="4" t="s">
        <v>999</v>
      </c>
      <c r="H43" s="4"/>
      <c r="I43" s="4"/>
      <c r="J43" s="6"/>
    </row>
    <row r="44" spans="1:10" ht="28.5">
      <c r="A44" s="4"/>
      <c r="B44" s="4"/>
      <c r="C44" s="4"/>
      <c r="D44" s="4" t="s">
        <v>996</v>
      </c>
      <c r="E44" s="4" t="s">
        <v>997</v>
      </c>
      <c r="F44" s="4" t="s">
        <v>998</v>
      </c>
      <c r="G44" s="4" t="s">
        <v>999</v>
      </c>
      <c r="H44" s="4"/>
      <c r="I44" s="4"/>
      <c r="J44" s="6"/>
    </row>
    <row r="45" spans="1:10" ht="28.5">
      <c r="A45" s="4"/>
      <c r="B45" s="4"/>
      <c r="C45" s="4"/>
      <c r="D45" s="4" t="s">
        <v>1000</v>
      </c>
      <c r="E45" s="4" t="s">
        <v>1001</v>
      </c>
      <c r="F45" s="4" t="s">
        <v>1002</v>
      </c>
      <c r="G45" s="4" t="s">
        <v>999</v>
      </c>
      <c r="H45" s="4"/>
      <c r="I45" s="4"/>
      <c r="J45" s="6"/>
    </row>
    <row r="46" spans="1:10" ht="28.5">
      <c r="A46" s="4"/>
      <c r="B46" s="4"/>
      <c r="C46" s="4"/>
      <c r="D46" s="4" t="s">
        <v>1003</v>
      </c>
      <c r="E46" s="4" t="s">
        <v>1004</v>
      </c>
      <c r="F46" s="4" t="s">
        <v>1005</v>
      </c>
      <c r="G46" s="4" t="s">
        <v>999</v>
      </c>
      <c r="H46" s="4"/>
      <c r="I46" s="4"/>
      <c r="J46" s="6"/>
    </row>
    <row r="47" spans="1:10" ht="28.5">
      <c r="A47" s="4"/>
      <c r="B47" s="4"/>
      <c r="C47" s="4"/>
      <c r="D47" s="4" t="s">
        <v>1006</v>
      </c>
      <c r="E47" s="4" t="s">
        <v>1007</v>
      </c>
      <c r="F47" s="4" t="s">
        <v>1008</v>
      </c>
      <c r="G47" s="4" t="s">
        <v>999</v>
      </c>
      <c r="H47" s="4"/>
      <c r="I47" s="4"/>
      <c r="J47" s="6"/>
    </row>
    <row r="48" spans="1:10">
      <c r="A48" s="4"/>
      <c r="B48" s="4"/>
      <c r="C48" s="4"/>
      <c r="D48" s="4" t="s">
        <v>1009</v>
      </c>
      <c r="E48" s="4" t="s">
        <v>1010</v>
      </c>
      <c r="F48" s="4" t="s">
        <v>1011</v>
      </c>
      <c r="G48" s="4" t="s">
        <v>999</v>
      </c>
      <c r="H48" s="4"/>
      <c r="I48" s="4"/>
      <c r="J48" s="6"/>
    </row>
    <row r="49" spans="1:10" ht="28.5">
      <c r="A49" s="4"/>
      <c r="B49" s="4"/>
      <c r="C49" s="4"/>
      <c r="D49" s="4" t="s">
        <v>1012</v>
      </c>
      <c r="E49" s="4" t="s">
        <v>1013</v>
      </c>
      <c r="F49" s="4" t="s">
        <v>1014</v>
      </c>
      <c r="G49" s="4" t="s">
        <v>999</v>
      </c>
      <c r="H49" s="4"/>
      <c r="I49" s="4"/>
      <c r="J49" s="6"/>
    </row>
    <row r="50" spans="1:10" ht="28.5">
      <c r="A50" s="4"/>
      <c r="B50" s="4"/>
      <c r="C50" s="4"/>
      <c r="D50" s="4" t="s">
        <v>996</v>
      </c>
      <c r="E50" s="4" t="s">
        <v>997</v>
      </c>
      <c r="F50" s="4" t="s">
        <v>998</v>
      </c>
      <c r="G50" s="4" t="s">
        <v>999</v>
      </c>
      <c r="H50" s="4"/>
      <c r="I50" s="4"/>
      <c r="J50" s="6"/>
    </row>
    <row r="51" spans="1:10" ht="28.5">
      <c r="A51" s="4"/>
      <c r="B51" s="4"/>
      <c r="C51" s="4"/>
      <c r="D51" s="4" t="s">
        <v>1000</v>
      </c>
      <c r="E51" s="4" t="s">
        <v>1001</v>
      </c>
      <c r="F51" s="4" t="s">
        <v>1002</v>
      </c>
      <c r="G51" s="4" t="s">
        <v>999</v>
      </c>
      <c r="H51" s="4"/>
      <c r="I51" s="4"/>
      <c r="J51" s="6"/>
    </row>
    <row r="52" spans="1:10" ht="28.5">
      <c r="A52" s="4"/>
      <c r="B52" s="4"/>
      <c r="C52" s="4"/>
      <c r="D52" s="4" t="s">
        <v>1003</v>
      </c>
      <c r="E52" s="4" t="s">
        <v>1004</v>
      </c>
      <c r="F52" s="4" t="s">
        <v>1005</v>
      </c>
      <c r="G52" s="4" t="s">
        <v>999</v>
      </c>
      <c r="H52" s="4"/>
      <c r="I52" s="4"/>
      <c r="J52" s="6"/>
    </row>
    <row r="53" spans="1:10" ht="28.5">
      <c r="A53" s="4"/>
      <c r="B53" s="4"/>
      <c r="C53" s="4"/>
      <c r="D53" s="4" t="s">
        <v>1006</v>
      </c>
      <c r="E53" s="4" t="s">
        <v>1007</v>
      </c>
      <c r="F53" s="4" t="s">
        <v>1008</v>
      </c>
      <c r="G53" s="4" t="s">
        <v>999</v>
      </c>
      <c r="H53" s="4"/>
      <c r="I53" s="4"/>
      <c r="J53" s="6"/>
    </row>
    <row r="54" spans="1:10">
      <c r="A54" s="4"/>
      <c r="B54" s="4"/>
      <c r="C54" s="4"/>
      <c r="D54" s="4" t="s">
        <v>1009</v>
      </c>
      <c r="E54" s="4" t="s">
        <v>1010</v>
      </c>
      <c r="F54" s="4" t="s">
        <v>1011</v>
      </c>
      <c r="G54" s="4" t="s">
        <v>999</v>
      </c>
      <c r="H54" s="4"/>
      <c r="I54" s="4"/>
      <c r="J54" s="6"/>
    </row>
    <row r="55" spans="1:10" ht="28.5">
      <c r="A55" s="4"/>
      <c r="B55" s="4"/>
      <c r="C55" s="4"/>
      <c r="D55" s="4" t="s">
        <v>1012</v>
      </c>
      <c r="E55" s="4" t="s">
        <v>1013</v>
      </c>
      <c r="F55" s="4" t="s">
        <v>1014</v>
      </c>
      <c r="G55" s="4" t="s">
        <v>999</v>
      </c>
      <c r="H55" s="4"/>
      <c r="I55" s="4"/>
      <c r="J55" s="6"/>
    </row>
    <row r="56" spans="1:10" ht="28.5">
      <c r="A56" s="4"/>
      <c r="B56" s="4"/>
      <c r="C56" s="4"/>
      <c r="D56" s="4" t="s">
        <v>996</v>
      </c>
      <c r="E56" s="4" t="s">
        <v>997</v>
      </c>
      <c r="F56" s="4" t="s">
        <v>998</v>
      </c>
      <c r="G56" s="4" t="s">
        <v>999</v>
      </c>
      <c r="H56" s="4"/>
      <c r="I56" s="4"/>
      <c r="J56" s="6"/>
    </row>
    <row r="57" spans="1:10" ht="28.5">
      <c r="A57" s="4"/>
      <c r="B57" s="4"/>
      <c r="C57" s="4"/>
      <c r="D57" s="4" t="s">
        <v>1000</v>
      </c>
      <c r="E57" s="4" t="s">
        <v>1001</v>
      </c>
      <c r="F57" s="4" t="s">
        <v>1002</v>
      </c>
      <c r="G57" s="4" t="s">
        <v>999</v>
      </c>
      <c r="H57" s="4"/>
      <c r="I57" s="4"/>
      <c r="J57" s="6"/>
    </row>
    <row r="58" spans="1:10" ht="28.5">
      <c r="A58" s="4"/>
      <c r="B58" s="4"/>
      <c r="C58" s="4"/>
      <c r="D58" s="4" t="s">
        <v>1003</v>
      </c>
      <c r="E58" s="4" t="s">
        <v>1004</v>
      </c>
      <c r="F58" s="4" t="s">
        <v>1005</v>
      </c>
      <c r="G58" s="4" t="s">
        <v>999</v>
      </c>
      <c r="H58" s="4"/>
      <c r="I58" s="4"/>
      <c r="J58" s="6"/>
    </row>
    <row r="59" spans="1:10" ht="28.5">
      <c r="A59" s="4"/>
      <c r="B59" s="4"/>
      <c r="C59" s="4"/>
      <c r="D59" s="4" t="s">
        <v>1006</v>
      </c>
      <c r="E59" s="4" t="s">
        <v>1007</v>
      </c>
      <c r="F59" s="4" t="s">
        <v>1008</v>
      </c>
      <c r="G59" s="4" t="s">
        <v>999</v>
      </c>
      <c r="H59" s="4"/>
      <c r="I59" s="4"/>
      <c r="J59" s="6"/>
    </row>
    <row r="60" spans="1:10">
      <c r="A60" s="4"/>
      <c r="B60" s="4"/>
      <c r="C60" s="4"/>
      <c r="D60" s="4" t="s">
        <v>1009</v>
      </c>
      <c r="E60" s="4" t="s">
        <v>1010</v>
      </c>
      <c r="F60" s="4" t="s">
        <v>1011</v>
      </c>
      <c r="G60" s="4" t="s">
        <v>999</v>
      </c>
      <c r="H60" s="4"/>
      <c r="I60" s="4"/>
      <c r="J60" s="6"/>
    </row>
    <row r="61" spans="1:10" ht="28.5">
      <c r="A61" s="4"/>
      <c r="B61" s="4"/>
      <c r="C61" s="4"/>
      <c r="D61" s="4" t="s">
        <v>1012</v>
      </c>
      <c r="E61" s="4" t="s">
        <v>1013</v>
      </c>
      <c r="F61" s="4" t="s">
        <v>1014</v>
      </c>
      <c r="G61" s="4" t="s">
        <v>999</v>
      </c>
      <c r="H61" s="4"/>
      <c r="I61" s="4"/>
      <c r="J61" s="6"/>
    </row>
    <row r="62" spans="1:10" ht="28.5">
      <c r="A62" s="4"/>
      <c r="B62" s="4"/>
      <c r="C62" s="4"/>
      <c r="D62" s="4" t="s">
        <v>996</v>
      </c>
      <c r="E62" s="4" t="s">
        <v>997</v>
      </c>
      <c r="F62" s="4" t="s">
        <v>998</v>
      </c>
      <c r="G62" s="4" t="s">
        <v>999</v>
      </c>
      <c r="H62" s="4"/>
      <c r="I62" s="4"/>
      <c r="J62" s="6"/>
    </row>
    <row r="63" spans="1:10" ht="28.5">
      <c r="A63" s="4"/>
      <c r="B63" s="4"/>
      <c r="C63" s="4"/>
      <c r="D63" s="4" t="s">
        <v>1000</v>
      </c>
      <c r="E63" s="4" t="s">
        <v>1001</v>
      </c>
      <c r="F63" s="4" t="s">
        <v>1002</v>
      </c>
      <c r="G63" s="4" t="s">
        <v>999</v>
      </c>
      <c r="H63" s="4"/>
      <c r="I63" s="4"/>
      <c r="J63" s="6"/>
    </row>
    <row r="64" spans="1:10" ht="28.5">
      <c r="A64" s="4"/>
      <c r="B64" s="4"/>
      <c r="C64" s="4"/>
      <c r="D64" s="4" t="s">
        <v>1003</v>
      </c>
      <c r="E64" s="4" t="s">
        <v>1004</v>
      </c>
      <c r="F64" s="4" t="s">
        <v>1005</v>
      </c>
      <c r="G64" s="4" t="s">
        <v>999</v>
      </c>
      <c r="H64" s="4"/>
      <c r="I64" s="4"/>
      <c r="J64" s="6"/>
    </row>
    <row r="65" spans="1:10" ht="28.5">
      <c r="A65" s="4"/>
      <c r="B65" s="4"/>
      <c r="C65" s="4"/>
      <c r="D65" s="4" t="s">
        <v>1006</v>
      </c>
      <c r="E65" s="4" t="s">
        <v>1007</v>
      </c>
      <c r="F65" s="4" t="s">
        <v>1008</v>
      </c>
      <c r="G65" s="4" t="s">
        <v>999</v>
      </c>
      <c r="H65" s="4"/>
      <c r="I65" s="4"/>
      <c r="J65" s="6"/>
    </row>
    <row r="66" spans="1:10">
      <c r="A66" s="4"/>
      <c r="B66" s="4"/>
      <c r="C66" s="4"/>
      <c r="D66" s="4" t="s">
        <v>1009</v>
      </c>
      <c r="E66" s="4" t="s">
        <v>1010</v>
      </c>
      <c r="F66" s="4" t="s">
        <v>1011</v>
      </c>
      <c r="G66" s="4" t="s">
        <v>999</v>
      </c>
      <c r="H66" s="4"/>
      <c r="I66" s="4"/>
      <c r="J66" s="6"/>
    </row>
    <row r="67" spans="1:10" ht="28.5">
      <c r="A67" s="4"/>
      <c r="B67" s="4"/>
      <c r="C67" s="4"/>
      <c r="D67" s="4" t="s">
        <v>1012</v>
      </c>
      <c r="E67" s="4" t="s">
        <v>1013</v>
      </c>
      <c r="F67" s="4" t="s">
        <v>1014</v>
      </c>
      <c r="G67" s="4" t="s">
        <v>999</v>
      </c>
      <c r="H67" s="4"/>
      <c r="I67" s="4"/>
      <c r="J67" s="6"/>
    </row>
    <row r="68" spans="1:10" ht="28.5">
      <c r="A68" s="4"/>
      <c r="B68" s="4"/>
      <c r="C68" s="4"/>
      <c r="D68" s="4" t="s">
        <v>996</v>
      </c>
      <c r="E68" s="4" t="s">
        <v>997</v>
      </c>
      <c r="F68" s="4" t="s">
        <v>998</v>
      </c>
      <c r="G68" s="4" t="s">
        <v>999</v>
      </c>
      <c r="H68" s="4"/>
      <c r="I68" s="4"/>
      <c r="J68" s="6"/>
    </row>
    <row r="69" spans="1:10" ht="28.5">
      <c r="A69" s="4"/>
      <c r="B69" s="4"/>
      <c r="C69" s="4"/>
      <c r="D69" s="4" t="s">
        <v>1000</v>
      </c>
      <c r="E69" s="4" t="s">
        <v>1001</v>
      </c>
      <c r="F69" s="4" t="s">
        <v>1002</v>
      </c>
      <c r="G69" s="4" t="s">
        <v>999</v>
      </c>
      <c r="H69" s="4"/>
      <c r="I69" s="4"/>
      <c r="J69" s="6"/>
    </row>
    <row r="70" spans="1:10" ht="28.5">
      <c r="A70" s="4"/>
      <c r="B70" s="4"/>
      <c r="C70" s="4"/>
      <c r="D70" s="4" t="s">
        <v>1003</v>
      </c>
      <c r="E70" s="4" t="s">
        <v>1004</v>
      </c>
      <c r="F70" s="4" t="s">
        <v>1005</v>
      </c>
      <c r="G70" s="4" t="s">
        <v>999</v>
      </c>
      <c r="H70" s="4"/>
      <c r="I70" s="4"/>
      <c r="J70" s="6"/>
    </row>
    <row r="71" spans="1:10" ht="28.5">
      <c r="A71" s="4"/>
      <c r="B71" s="4"/>
      <c r="C71" s="4"/>
      <c r="D71" s="4" t="s">
        <v>1006</v>
      </c>
      <c r="E71" s="4" t="s">
        <v>1007</v>
      </c>
      <c r="F71" s="4" t="s">
        <v>1008</v>
      </c>
      <c r="G71" s="4" t="s">
        <v>999</v>
      </c>
      <c r="H71" s="4"/>
      <c r="I71" s="4"/>
      <c r="J71" s="6"/>
    </row>
    <row r="72" spans="1:10">
      <c r="A72" s="4"/>
      <c r="B72" s="4"/>
      <c r="C72" s="4"/>
      <c r="D72" s="4" t="s">
        <v>1009</v>
      </c>
      <c r="E72" s="4" t="s">
        <v>1010</v>
      </c>
      <c r="F72" s="4" t="s">
        <v>1011</v>
      </c>
      <c r="G72" s="4" t="s">
        <v>999</v>
      </c>
      <c r="H72" s="4"/>
      <c r="I72" s="4"/>
      <c r="J72" s="6"/>
    </row>
    <row r="73" spans="1:10" ht="28.5">
      <c r="A73" s="4"/>
      <c r="B73" s="4"/>
      <c r="C73" s="4"/>
      <c r="D73" s="4" t="s">
        <v>1012</v>
      </c>
      <c r="E73" s="4" t="s">
        <v>1013</v>
      </c>
      <c r="F73" s="4" t="s">
        <v>1014</v>
      </c>
      <c r="G73" s="4" t="s">
        <v>999</v>
      </c>
      <c r="H73" s="4"/>
      <c r="I73" s="4"/>
      <c r="J73" s="6"/>
    </row>
    <row r="74" spans="1:10" ht="28.5">
      <c r="A74" s="4"/>
      <c r="B74" s="4"/>
      <c r="C74" s="4"/>
      <c r="D74" s="4" t="s">
        <v>996</v>
      </c>
      <c r="E74" s="4" t="s">
        <v>997</v>
      </c>
      <c r="F74" s="4" t="s">
        <v>998</v>
      </c>
      <c r="G74" s="4" t="s">
        <v>999</v>
      </c>
      <c r="H74" s="4"/>
      <c r="I74" s="4"/>
      <c r="J74" s="6"/>
    </row>
    <row r="75" spans="1:10" ht="28.5">
      <c r="A75" s="4"/>
      <c r="B75" s="4"/>
      <c r="C75" s="4"/>
      <c r="D75" s="4" t="s">
        <v>1000</v>
      </c>
      <c r="E75" s="4" t="s">
        <v>1001</v>
      </c>
      <c r="F75" s="4" t="s">
        <v>1002</v>
      </c>
      <c r="G75" s="4" t="s">
        <v>999</v>
      </c>
      <c r="H75" s="4"/>
      <c r="I75" s="4"/>
      <c r="J75" s="6"/>
    </row>
    <row r="76" spans="1:10" ht="28.5">
      <c r="A76" s="4"/>
      <c r="B76" s="4"/>
      <c r="C76" s="4"/>
      <c r="D76" s="4" t="s">
        <v>1003</v>
      </c>
      <c r="E76" s="4" t="s">
        <v>1004</v>
      </c>
      <c r="F76" s="4" t="s">
        <v>1005</v>
      </c>
      <c r="G76" s="4" t="s">
        <v>999</v>
      </c>
      <c r="H76" s="4"/>
      <c r="I76" s="4"/>
      <c r="J76" s="6"/>
    </row>
    <row r="77" spans="1:10" ht="28.5">
      <c r="A77" s="4"/>
      <c r="B77" s="4"/>
      <c r="C77" s="4"/>
      <c r="D77" s="4" t="s">
        <v>1006</v>
      </c>
      <c r="E77" s="4" t="s">
        <v>1007</v>
      </c>
      <c r="F77" s="4" t="s">
        <v>1008</v>
      </c>
      <c r="G77" s="4" t="s">
        <v>999</v>
      </c>
      <c r="H77" s="4"/>
      <c r="I77" s="4"/>
      <c r="J77" s="6"/>
    </row>
    <row r="78" spans="1:10">
      <c r="A78" s="4"/>
      <c r="B78" s="4"/>
      <c r="C78" s="4"/>
      <c r="D78" s="4" t="s">
        <v>1009</v>
      </c>
      <c r="E78" s="4" t="s">
        <v>1010</v>
      </c>
      <c r="F78" s="4" t="s">
        <v>1011</v>
      </c>
      <c r="G78" s="4" t="s">
        <v>999</v>
      </c>
      <c r="H78" s="4"/>
      <c r="I78" s="4"/>
      <c r="J78" s="6"/>
    </row>
    <row r="79" spans="1:10" ht="28.5">
      <c r="A79" s="4"/>
      <c r="B79" s="4"/>
      <c r="C79" s="4"/>
      <c r="D79" s="4" t="s">
        <v>1012</v>
      </c>
      <c r="E79" s="4" t="s">
        <v>1013</v>
      </c>
      <c r="F79" s="4" t="s">
        <v>1014</v>
      </c>
      <c r="G79" s="4" t="s">
        <v>999</v>
      </c>
      <c r="H79" s="4"/>
      <c r="I79" s="4"/>
      <c r="J79" s="6"/>
    </row>
    <row r="80" spans="1:10" ht="28.5">
      <c r="A80" s="4"/>
      <c r="B80" s="4"/>
      <c r="C80" s="4"/>
      <c r="D80" s="4" t="s">
        <v>996</v>
      </c>
      <c r="E80" s="4" t="s">
        <v>997</v>
      </c>
      <c r="F80" s="4" t="s">
        <v>998</v>
      </c>
      <c r="G80" s="4" t="s">
        <v>999</v>
      </c>
      <c r="H80" s="4"/>
      <c r="I80" s="4"/>
      <c r="J80" s="6"/>
    </row>
    <row r="81" spans="1:10" ht="28.5">
      <c r="A81" s="4"/>
      <c r="B81" s="4"/>
      <c r="C81" s="4"/>
      <c r="D81" s="4" t="s">
        <v>1000</v>
      </c>
      <c r="E81" s="4" t="s">
        <v>1001</v>
      </c>
      <c r="F81" s="4" t="s">
        <v>1002</v>
      </c>
      <c r="G81" s="4" t="s">
        <v>999</v>
      </c>
      <c r="H81" s="4"/>
      <c r="I81" s="4"/>
      <c r="J81" s="6"/>
    </row>
    <row r="82" spans="1:10" ht="28.5">
      <c r="A82" s="4"/>
      <c r="B82" s="4"/>
      <c r="C82" s="4"/>
      <c r="D82" s="4" t="s">
        <v>1003</v>
      </c>
      <c r="E82" s="4" t="s">
        <v>1004</v>
      </c>
      <c r="F82" s="4" t="s">
        <v>1005</v>
      </c>
      <c r="G82" s="4" t="s">
        <v>999</v>
      </c>
      <c r="H82" s="4"/>
      <c r="I82" s="4"/>
      <c r="J82" s="6"/>
    </row>
    <row r="83" spans="1:10" ht="28.5">
      <c r="A83" s="4"/>
      <c r="B83" s="4"/>
      <c r="C83" s="4"/>
      <c r="D83" s="4" t="s">
        <v>1006</v>
      </c>
      <c r="E83" s="4" t="s">
        <v>1007</v>
      </c>
      <c r="F83" s="4" t="s">
        <v>1008</v>
      </c>
      <c r="G83" s="4" t="s">
        <v>999</v>
      </c>
      <c r="H83" s="4"/>
      <c r="I83" s="4"/>
      <c r="J83" s="6"/>
    </row>
    <row r="84" spans="1:10">
      <c r="A84" s="4"/>
      <c r="B84" s="4"/>
      <c r="C84" s="4"/>
      <c r="D84" s="4" t="s">
        <v>1009</v>
      </c>
      <c r="E84" s="4" t="s">
        <v>1010</v>
      </c>
      <c r="F84" s="4" t="s">
        <v>1011</v>
      </c>
      <c r="G84" s="4" t="s">
        <v>999</v>
      </c>
      <c r="H84" s="4"/>
      <c r="I84" s="4"/>
      <c r="J84" s="6"/>
    </row>
    <row r="85" spans="1:10" ht="28.5">
      <c r="A85" s="4"/>
      <c r="B85" s="4"/>
      <c r="C85" s="4"/>
      <c r="D85" s="4" t="s">
        <v>1012</v>
      </c>
      <c r="E85" s="4" t="s">
        <v>1013</v>
      </c>
      <c r="F85" s="4" t="s">
        <v>1014</v>
      </c>
      <c r="G85" s="4" t="s">
        <v>999</v>
      </c>
      <c r="H85" s="4"/>
      <c r="I85" s="4"/>
      <c r="J85" s="6"/>
    </row>
    <row r="86" spans="1:10" ht="28.5">
      <c r="A86" s="4"/>
      <c r="B86" s="4"/>
      <c r="C86" s="4"/>
      <c r="D86" s="4" t="s">
        <v>996</v>
      </c>
      <c r="E86" s="4" t="s">
        <v>997</v>
      </c>
      <c r="F86" s="4" t="s">
        <v>998</v>
      </c>
      <c r="G86" s="4" t="s">
        <v>999</v>
      </c>
      <c r="H86" s="4"/>
      <c r="I86" s="4"/>
      <c r="J86" s="6"/>
    </row>
    <row r="87" spans="1:10" ht="28.5">
      <c r="A87" s="4"/>
      <c r="B87" s="4"/>
      <c r="C87" s="4"/>
      <c r="D87" s="4" t="s">
        <v>1000</v>
      </c>
      <c r="E87" s="4" t="s">
        <v>1001</v>
      </c>
      <c r="F87" s="4" t="s">
        <v>1002</v>
      </c>
      <c r="G87" s="4" t="s">
        <v>999</v>
      </c>
      <c r="H87" s="4"/>
      <c r="I87" s="4"/>
      <c r="J87" s="6"/>
    </row>
    <row r="88" spans="1:10" ht="28.5">
      <c r="A88" s="4"/>
      <c r="B88" s="4"/>
      <c r="C88" s="4"/>
      <c r="D88" s="4" t="s">
        <v>1003</v>
      </c>
      <c r="E88" s="4" t="s">
        <v>1004</v>
      </c>
      <c r="F88" s="4" t="s">
        <v>1005</v>
      </c>
      <c r="G88" s="4" t="s">
        <v>999</v>
      </c>
      <c r="H88" s="4"/>
      <c r="I88" s="4"/>
      <c r="J88" s="6"/>
    </row>
    <row r="89" spans="1:10" ht="28.5">
      <c r="A89" s="4"/>
      <c r="B89" s="4"/>
      <c r="C89" s="4"/>
      <c r="D89" s="4" t="s">
        <v>1006</v>
      </c>
      <c r="E89" s="4" t="s">
        <v>1007</v>
      </c>
      <c r="F89" s="4" t="s">
        <v>1008</v>
      </c>
      <c r="G89" s="4" t="s">
        <v>999</v>
      </c>
      <c r="H89" s="4"/>
      <c r="I89" s="4"/>
      <c r="J89" s="6"/>
    </row>
    <row r="90" spans="1:10">
      <c r="A90" s="4"/>
      <c r="B90" s="4"/>
      <c r="C90" s="4"/>
      <c r="D90" s="4" t="s">
        <v>1009</v>
      </c>
      <c r="E90" s="4" t="s">
        <v>1010</v>
      </c>
      <c r="F90" s="4" t="s">
        <v>1011</v>
      </c>
      <c r="G90" s="4" t="s">
        <v>999</v>
      </c>
      <c r="H90" s="4"/>
      <c r="I90" s="4"/>
      <c r="J90" s="6"/>
    </row>
    <row r="91" spans="1:10" ht="28.5">
      <c r="A91" s="4"/>
      <c r="B91" s="4"/>
      <c r="C91" s="4"/>
      <c r="D91" s="4" t="s">
        <v>1012</v>
      </c>
      <c r="E91" s="4" t="s">
        <v>1013</v>
      </c>
      <c r="F91" s="4" t="s">
        <v>1014</v>
      </c>
      <c r="G91" s="4" t="s">
        <v>999</v>
      </c>
      <c r="H91" s="4"/>
      <c r="I91" s="4"/>
      <c r="J91" s="6"/>
    </row>
    <row r="92" spans="1:10" ht="28.5">
      <c r="A92" s="4"/>
      <c r="B92" s="4"/>
      <c r="C92" s="4"/>
      <c r="D92" s="4" t="s">
        <v>996</v>
      </c>
      <c r="E92" s="4" t="s">
        <v>997</v>
      </c>
      <c r="F92" s="4" t="s">
        <v>998</v>
      </c>
      <c r="G92" s="4" t="s">
        <v>999</v>
      </c>
      <c r="H92" s="4"/>
      <c r="I92" s="4"/>
      <c r="J92" s="6"/>
    </row>
    <row r="93" spans="1:10" ht="28.5">
      <c r="A93" s="4"/>
      <c r="B93" s="4"/>
      <c r="C93" s="4"/>
      <c r="D93" s="4" t="s">
        <v>1000</v>
      </c>
      <c r="E93" s="4" t="s">
        <v>1001</v>
      </c>
      <c r="F93" s="4" t="s">
        <v>1002</v>
      </c>
      <c r="G93" s="4" t="s">
        <v>999</v>
      </c>
      <c r="H93" s="4"/>
      <c r="I93" s="4"/>
      <c r="J93" s="6"/>
    </row>
    <row r="94" spans="1:10" ht="28.5">
      <c r="A94" s="4"/>
      <c r="B94" s="4"/>
      <c r="C94" s="4"/>
      <c r="D94" s="4" t="s">
        <v>1003</v>
      </c>
      <c r="E94" s="4" t="s">
        <v>1004</v>
      </c>
      <c r="F94" s="4" t="s">
        <v>1005</v>
      </c>
      <c r="G94" s="4" t="s">
        <v>999</v>
      </c>
      <c r="H94" s="4"/>
      <c r="I94" s="4"/>
      <c r="J94" s="6"/>
    </row>
    <row r="95" spans="1:10" ht="28.5">
      <c r="A95" s="4"/>
      <c r="B95" s="4"/>
      <c r="C95" s="4"/>
      <c r="D95" s="4" t="s">
        <v>1006</v>
      </c>
      <c r="E95" s="4" t="s">
        <v>1007</v>
      </c>
      <c r="F95" s="4" t="s">
        <v>1008</v>
      </c>
      <c r="G95" s="4" t="s">
        <v>999</v>
      </c>
      <c r="H95" s="4"/>
      <c r="I95" s="4"/>
      <c r="J95" s="6"/>
    </row>
    <row r="96" spans="1:10">
      <c r="A96" s="4"/>
      <c r="B96" s="4"/>
      <c r="C96" s="4"/>
      <c r="D96" s="4" t="s">
        <v>1009</v>
      </c>
      <c r="E96" s="4" t="s">
        <v>1010</v>
      </c>
      <c r="F96" s="4" t="s">
        <v>1011</v>
      </c>
      <c r="G96" s="4" t="s">
        <v>999</v>
      </c>
      <c r="H96" s="4"/>
      <c r="I96" s="4"/>
      <c r="J96" s="6"/>
    </row>
    <row r="97" spans="1:10" ht="28.5">
      <c r="A97" s="4"/>
      <c r="B97" s="4"/>
      <c r="C97" s="4"/>
      <c r="D97" s="4" t="s">
        <v>1012</v>
      </c>
      <c r="E97" s="4" t="s">
        <v>1013</v>
      </c>
      <c r="F97" s="4" t="s">
        <v>1014</v>
      </c>
      <c r="G97" s="4" t="s">
        <v>999</v>
      </c>
      <c r="H97" s="4"/>
      <c r="I97" s="4"/>
      <c r="J97" s="6"/>
    </row>
    <row r="98" spans="1:10" ht="28.5">
      <c r="A98" s="4"/>
      <c r="B98" s="4"/>
      <c r="C98" s="4"/>
      <c r="D98" s="4" t="s">
        <v>996</v>
      </c>
      <c r="E98" s="4" t="s">
        <v>997</v>
      </c>
      <c r="F98" s="4" t="s">
        <v>998</v>
      </c>
      <c r="G98" s="4" t="s">
        <v>999</v>
      </c>
      <c r="H98" s="4"/>
      <c r="I98" s="4"/>
      <c r="J98" s="6"/>
    </row>
    <row r="99" spans="1:10" ht="28.5">
      <c r="A99" s="4"/>
      <c r="B99" s="4"/>
      <c r="C99" s="4"/>
      <c r="D99" s="4" t="s">
        <v>1000</v>
      </c>
      <c r="E99" s="4" t="s">
        <v>1001</v>
      </c>
      <c r="F99" s="4" t="s">
        <v>1002</v>
      </c>
      <c r="G99" s="4" t="s">
        <v>999</v>
      </c>
      <c r="H99" s="4"/>
      <c r="I99" s="4"/>
      <c r="J99" s="6"/>
    </row>
    <row r="100" spans="1:10" ht="28.5">
      <c r="A100" s="4"/>
      <c r="B100" s="4"/>
      <c r="C100" s="4"/>
      <c r="D100" s="4" t="s">
        <v>1003</v>
      </c>
      <c r="E100" s="4" t="s">
        <v>1004</v>
      </c>
      <c r="F100" s="4" t="s">
        <v>1005</v>
      </c>
      <c r="G100" s="4" t="s">
        <v>999</v>
      </c>
      <c r="H100" s="4"/>
      <c r="I100" s="4"/>
      <c r="J100" s="6"/>
    </row>
    <row r="101" spans="1:10" ht="28.5">
      <c r="A101" s="4"/>
      <c r="B101" s="4"/>
      <c r="C101" s="4"/>
      <c r="D101" s="4" t="s">
        <v>1006</v>
      </c>
      <c r="E101" s="4" t="s">
        <v>1007</v>
      </c>
      <c r="F101" s="4" t="s">
        <v>1008</v>
      </c>
      <c r="G101" s="4" t="s">
        <v>999</v>
      </c>
      <c r="H101" s="4"/>
      <c r="I101" s="4"/>
      <c r="J101" s="6"/>
    </row>
    <row r="102" spans="1:10">
      <c r="A102" s="4"/>
      <c r="B102" s="4"/>
      <c r="C102" s="4"/>
      <c r="D102" s="4" t="s">
        <v>1009</v>
      </c>
      <c r="E102" s="4" t="s">
        <v>1010</v>
      </c>
      <c r="F102" s="4" t="s">
        <v>1011</v>
      </c>
      <c r="G102" s="4" t="s">
        <v>999</v>
      </c>
      <c r="H102" s="4"/>
      <c r="I102" s="4"/>
      <c r="J102" s="6"/>
    </row>
    <row r="103" spans="1:10" ht="28.5">
      <c r="A103" s="4"/>
      <c r="B103" s="4"/>
      <c r="C103" s="4"/>
      <c r="D103" s="4" t="s">
        <v>1012</v>
      </c>
      <c r="E103" s="4" t="s">
        <v>1013</v>
      </c>
      <c r="F103" s="4" t="s">
        <v>1014</v>
      </c>
      <c r="G103" s="4" t="s">
        <v>999</v>
      </c>
      <c r="H103" s="4"/>
      <c r="I103" s="4"/>
      <c r="J103" s="6"/>
    </row>
    <row r="104" spans="1:10" ht="28.5">
      <c r="A104" s="4"/>
      <c r="B104" s="4"/>
      <c r="C104" s="4"/>
      <c r="D104" s="4" t="s">
        <v>996</v>
      </c>
      <c r="E104" s="4" t="s">
        <v>997</v>
      </c>
      <c r="F104" s="4" t="s">
        <v>998</v>
      </c>
      <c r="G104" s="4" t="s">
        <v>999</v>
      </c>
      <c r="H104" s="4"/>
      <c r="I104" s="4"/>
      <c r="J104" s="6"/>
    </row>
    <row r="105" spans="1:10" ht="28.5">
      <c r="A105" s="4"/>
      <c r="B105" s="4"/>
      <c r="C105" s="4"/>
      <c r="D105" s="4" t="s">
        <v>1000</v>
      </c>
      <c r="E105" s="4" t="s">
        <v>1001</v>
      </c>
      <c r="F105" s="4" t="s">
        <v>1002</v>
      </c>
      <c r="G105" s="4" t="s">
        <v>999</v>
      </c>
      <c r="H105" s="4"/>
      <c r="I105" s="4"/>
      <c r="J105" s="6"/>
    </row>
    <row r="106" spans="1:10" ht="28.5">
      <c r="A106" s="4"/>
      <c r="B106" s="4"/>
      <c r="C106" s="4"/>
      <c r="D106" s="4" t="s">
        <v>1003</v>
      </c>
      <c r="E106" s="4" t="s">
        <v>1004</v>
      </c>
      <c r="F106" s="4" t="s">
        <v>1005</v>
      </c>
      <c r="G106" s="4" t="s">
        <v>999</v>
      </c>
      <c r="H106" s="4"/>
      <c r="I106" s="4"/>
      <c r="J106" s="6"/>
    </row>
    <row r="107" spans="1:10" ht="28.5">
      <c r="A107" s="4"/>
      <c r="B107" s="4"/>
      <c r="C107" s="4"/>
      <c r="D107" s="4" t="s">
        <v>1006</v>
      </c>
      <c r="E107" s="4" t="s">
        <v>1007</v>
      </c>
      <c r="F107" s="4" t="s">
        <v>1008</v>
      </c>
      <c r="G107" s="4" t="s">
        <v>999</v>
      </c>
      <c r="H107" s="4"/>
      <c r="I107" s="4"/>
      <c r="J107" s="6"/>
    </row>
    <row r="108" spans="1:10">
      <c r="A108" s="4"/>
      <c r="B108" s="4"/>
      <c r="C108" s="4"/>
      <c r="D108" s="4" t="s">
        <v>1009</v>
      </c>
      <c r="E108" s="4" t="s">
        <v>1010</v>
      </c>
      <c r="F108" s="4" t="s">
        <v>1011</v>
      </c>
      <c r="G108" s="4" t="s">
        <v>999</v>
      </c>
      <c r="H108" s="4"/>
      <c r="I108" s="4"/>
      <c r="J108" s="6"/>
    </row>
    <row r="109" spans="1:10" ht="28.5">
      <c r="A109" s="4"/>
      <c r="B109" s="4"/>
      <c r="C109" s="4"/>
      <c r="D109" s="4" t="s">
        <v>1012</v>
      </c>
      <c r="E109" s="4" t="s">
        <v>1013</v>
      </c>
      <c r="F109" s="4" t="s">
        <v>1014</v>
      </c>
      <c r="G109" s="4" t="s">
        <v>999</v>
      </c>
      <c r="H109" s="4"/>
      <c r="I109" s="4"/>
      <c r="J109" s="6"/>
    </row>
    <row r="110" spans="1:10" ht="28.5">
      <c r="A110" s="4"/>
      <c r="B110" s="4"/>
      <c r="C110" s="4"/>
      <c r="D110" s="4" t="s">
        <v>996</v>
      </c>
      <c r="E110" s="4" t="s">
        <v>997</v>
      </c>
      <c r="F110" s="4" t="s">
        <v>998</v>
      </c>
      <c r="G110" s="4" t="s">
        <v>999</v>
      </c>
      <c r="H110" s="4"/>
      <c r="I110" s="4"/>
      <c r="J110" s="6"/>
    </row>
    <row r="111" spans="1:10" ht="28.5">
      <c r="A111" s="4"/>
      <c r="B111" s="4"/>
      <c r="C111" s="4"/>
      <c r="D111" s="4" t="s">
        <v>1000</v>
      </c>
      <c r="E111" s="4" t="s">
        <v>1001</v>
      </c>
      <c r="F111" s="4" t="s">
        <v>1002</v>
      </c>
      <c r="G111" s="4" t="s">
        <v>999</v>
      </c>
      <c r="H111" s="4"/>
      <c r="I111" s="4"/>
      <c r="J111" s="6"/>
    </row>
    <row r="112" spans="1:10" ht="28.5">
      <c r="A112" s="4"/>
      <c r="B112" s="4"/>
      <c r="C112" s="4"/>
      <c r="D112" s="4" t="s">
        <v>1003</v>
      </c>
      <c r="E112" s="4" t="s">
        <v>1004</v>
      </c>
      <c r="F112" s="4" t="s">
        <v>1005</v>
      </c>
      <c r="G112" s="4" t="s">
        <v>999</v>
      </c>
      <c r="H112" s="4"/>
      <c r="I112" s="4"/>
      <c r="J112" s="6"/>
    </row>
    <row r="113" spans="1:10" ht="28.5">
      <c r="A113" s="4"/>
      <c r="B113" s="4"/>
      <c r="C113" s="4"/>
      <c r="D113" s="4" t="s">
        <v>1006</v>
      </c>
      <c r="E113" s="4" t="s">
        <v>1007</v>
      </c>
      <c r="F113" s="4" t="s">
        <v>1008</v>
      </c>
      <c r="G113" s="4" t="s">
        <v>999</v>
      </c>
      <c r="H113" s="4"/>
      <c r="I113" s="4"/>
      <c r="J113" s="6"/>
    </row>
    <row r="114" spans="1:10">
      <c r="A114" s="4"/>
      <c r="B114" s="4"/>
      <c r="C114" s="4"/>
      <c r="D114" s="4" t="s">
        <v>1009</v>
      </c>
      <c r="E114" s="4" t="s">
        <v>1010</v>
      </c>
      <c r="F114" s="4" t="s">
        <v>1011</v>
      </c>
      <c r="G114" s="4" t="s">
        <v>999</v>
      </c>
      <c r="H114" s="4"/>
      <c r="I114" s="4"/>
      <c r="J114" s="6"/>
    </row>
    <row r="115" spans="1:10" ht="28.5">
      <c r="A115" s="4"/>
      <c r="B115" s="4"/>
      <c r="C115" s="4"/>
      <c r="D115" s="4" t="s">
        <v>1012</v>
      </c>
      <c r="E115" s="4" t="s">
        <v>1013</v>
      </c>
      <c r="F115" s="4" t="s">
        <v>1014</v>
      </c>
      <c r="G115" s="4" t="s">
        <v>999</v>
      </c>
      <c r="H115" s="4"/>
      <c r="I115" s="4"/>
      <c r="J115" s="6"/>
    </row>
    <row r="116" spans="1:10" ht="28.5">
      <c r="A116" s="4"/>
      <c r="B116" s="4"/>
      <c r="C116" s="4"/>
      <c r="D116" s="4" t="s">
        <v>996</v>
      </c>
      <c r="E116" s="4" t="s">
        <v>997</v>
      </c>
      <c r="F116" s="4" t="s">
        <v>998</v>
      </c>
      <c r="G116" s="4" t="s">
        <v>999</v>
      </c>
      <c r="H116" s="4"/>
      <c r="I116" s="4"/>
      <c r="J116" s="6"/>
    </row>
    <row r="117" spans="1:10" ht="28.5">
      <c r="A117" s="4"/>
      <c r="B117" s="4"/>
      <c r="C117" s="4"/>
      <c r="D117" s="4" t="s">
        <v>1000</v>
      </c>
      <c r="E117" s="4" t="s">
        <v>1001</v>
      </c>
      <c r="F117" s="4" t="s">
        <v>1002</v>
      </c>
      <c r="G117" s="4" t="s">
        <v>999</v>
      </c>
      <c r="H117" s="4"/>
      <c r="I117" s="4"/>
      <c r="J117" s="6"/>
    </row>
    <row r="118" spans="1:10" ht="28.5">
      <c r="A118" s="4"/>
      <c r="B118" s="4"/>
      <c r="C118" s="4"/>
      <c r="D118" s="4" t="s">
        <v>1003</v>
      </c>
      <c r="E118" s="4" t="s">
        <v>1004</v>
      </c>
      <c r="F118" s="4" t="s">
        <v>1005</v>
      </c>
      <c r="G118" s="4" t="s">
        <v>999</v>
      </c>
      <c r="H118" s="4"/>
      <c r="I118" s="4"/>
      <c r="J118" s="6"/>
    </row>
    <row r="119" spans="1:10" ht="28.5">
      <c r="A119" s="4"/>
      <c r="B119" s="4"/>
      <c r="C119" s="4"/>
      <c r="D119" s="4" t="s">
        <v>1006</v>
      </c>
      <c r="E119" s="4" t="s">
        <v>1007</v>
      </c>
      <c r="F119" s="4" t="s">
        <v>1008</v>
      </c>
      <c r="G119" s="4" t="s">
        <v>999</v>
      </c>
      <c r="H119" s="4"/>
      <c r="I119" s="4"/>
      <c r="J119" s="6"/>
    </row>
    <row r="120" spans="1:10">
      <c r="A120" s="4"/>
      <c r="B120" s="4"/>
      <c r="C120" s="4"/>
      <c r="D120" s="4" t="s">
        <v>1009</v>
      </c>
      <c r="E120" s="4" t="s">
        <v>1010</v>
      </c>
      <c r="F120" s="4" t="s">
        <v>1011</v>
      </c>
      <c r="G120" s="4" t="s">
        <v>999</v>
      </c>
      <c r="H120" s="4"/>
      <c r="I120" s="4"/>
      <c r="J120" s="6"/>
    </row>
    <row r="121" spans="1:10" ht="28.5">
      <c r="A121" s="4"/>
      <c r="B121" s="4"/>
      <c r="C121" s="4"/>
      <c r="D121" s="4" t="s">
        <v>1012</v>
      </c>
      <c r="E121" s="4" t="s">
        <v>1013</v>
      </c>
      <c r="F121" s="4" t="s">
        <v>1014</v>
      </c>
      <c r="G121" s="4" t="s">
        <v>999</v>
      </c>
      <c r="H121" s="4"/>
      <c r="I121" s="4"/>
      <c r="J121" s="6"/>
    </row>
    <row r="122" spans="1:10" ht="28.5">
      <c r="A122" s="4"/>
      <c r="B122" s="4"/>
      <c r="C122" s="4"/>
      <c r="D122" s="4" t="s">
        <v>996</v>
      </c>
      <c r="E122" s="4" t="s">
        <v>997</v>
      </c>
      <c r="F122" s="4" t="s">
        <v>998</v>
      </c>
      <c r="G122" s="4" t="s">
        <v>999</v>
      </c>
      <c r="H122" s="4"/>
      <c r="I122" s="4"/>
      <c r="J122" s="6"/>
    </row>
    <row r="123" spans="1:10" ht="28.5">
      <c r="A123" s="4"/>
      <c r="B123" s="4"/>
      <c r="C123" s="4"/>
      <c r="D123" s="4" t="s">
        <v>1000</v>
      </c>
      <c r="E123" s="4" t="s">
        <v>1001</v>
      </c>
      <c r="F123" s="4" t="s">
        <v>1002</v>
      </c>
      <c r="G123" s="4" t="s">
        <v>999</v>
      </c>
      <c r="H123" s="4"/>
      <c r="I123" s="4"/>
      <c r="J123" s="6"/>
    </row>
    <row r="124" spans="1:10" ht="28.5">
      <c r="A124" s="4"/>
      <c r="B124" s="4"/>
      <c r="C124" s="4"/>
      <c r="D124" s="4" t="s">
        <v>1003</v>
      </c>
      <c r="E124" s="4" t="s">
        <v>1004</v>
      </c>
      <c r="F124" s="4" t="s">
        <v>1005</v>
      </c>
      <c r="G124" s="4" t="s">
        <v>999</v>
      </c>
      <c r="H124" s="4"/>
      <c r="I124" s="4"/>
      <c r="J124" s="6"/>
    </row>
    <row r="125" spans="1:10" ht="28.5">
      <c r="A125" s="4"/>
      <c r="B125" s="4"/>
      <c r="C125" s="4"/>
      <c r="D125" s="4" t="s">
        <v>1006</v>
      </c>
      <c r="E125" s="4" t="s">
        <v>1007</v>
      </c>
      <c r="F125" s="4" t="s">
        <v>1008</v>
      </c>
      <c r="G125" s="4" t="s">
        <v>999</v>
      </c>
      <c r="H125" s="4"/>
      <c r="I125" s="4"/>
      <c r="J125" s="6"/>
    </row>
    <row r="126" spans="1:10">
      <c r="A126" s="4"/>
      <c r="B126" s="4"/>
      <c r="C126" s="4"/>
      <c r="D126" s="4" t="s">
        <v>1009</v>
      </c>
      <c r="E126" s="4" t="s">
        <v>1010</v>
      </c>
      <c r="F126" s="4" t="s">
        <v>1011</v>
      </c>
      <c r="G126" s="4" t="s">
        <v>999</v>
      </c>
      <c r="H126" s="4"/>
      <c r="I126" s="4"/>
      <c r="J126" s="6"/>
    </row>
    <row r="127" spans="1:10" ht="28.5">
      <c r="A127" s="4"/>
      <c r="B127" s="4"/>
      <c r="C127" s="4"/>
      <c r="D127" s="4" t="s">
        <v>1012</v>
      </c>
      <c r="E127" s="4" t="s">
        <v>1013</v>
      </c>
      <c r="F127" s="4" t="s">
        <v>1014</v>
      </c>
      <c r="G127" s="4" t="s">
        <v>999</v>
      </c>
      <c r="H127" s="4"/>
      <c r="I127" s="4"/>
      <c r="J127" s="6"/>
    </row>
    <row r="128" spans="1:10" ht="28.5">
      <c r="A128" s="4"/>
      <c r="B128" s="4"/>
      <c r="C128" s="4"/>
      <c r="D128" s="4" t="s">
        <v>996</v>
      </c>
      <c r="E128" s="4" t="s">
        <v>997</v>
      </c>
      <c r="F128" s="4" t="s">
        <v>998</v>
      </c>
      <c r="G128" s="4" t="s">
        <v>999</v>
      </c>
      <c r="H128" s="4"/>
      <c r="I128" s="4"/>
      <c r="J128" s="6"/>
    </row>
    <row r="129" spans="1:10" ht="28.5">
      <c r="A129" s="4"/>
      <c r="B129" s="4"/>
      <c r="C129" s="4"/>
      <c r="D129" s="4" t="s">
        <v>1000</v>
      </c>
      <c r="E129" s="4" t="s">
        <v>1001</v>
      </c>
      <c r="F129" s="4" t="s">
        <v>1002</v>
      </c>
      <c r="G129" s="4" t="s">
        <v>999</v>
      </c>
      <c r="H129" s="4"/>
      <c r="I129" s="4"/>
      <c r="J129" s="6"/>
    </row>
    <row r="130" spans="1:10" ht="28.5">
      <c r="A130" s="4"/>
      <c r="B130" s="4"/>
      <c r="C130" s="4"/>
      <c r="D130" s="4" t="s">
        <v>1003</v>
      </c>
      <c r="E130" s="4" t="s">
        <v>1004</v>
      </c>
      <c r="F130" s="4" t="s">
        <v>1005</v>
      </c>
      <c r="G130" s="4" t="s">
        <v>999</v>
      </c>
      <c r="H130" s="4"/>
      <c r="I130" s="4"/>
      <c r="J130" s="6"/>
    </row>
    <row r="131" spans="1:10" ht="28.5">
      <c r="A131" s="4"/>
      <c r="B131" s="4"/>
      <c r="C131" s="4"/>
      <c r="D131" s="4" t="s">
        <v>1006</v>
      </c>
      <c r="E131" s="4" t="s">
        <v>1007</v>
      </c>
      <c r="F131" s="4" t="s">
        <v>1008</v>
      </c>
      <c r="G131" s="4" t="s">
        <v>999</v>
      </c>
      <c r="H131" s="4"/>
      <c r="I131" s="4"/>
      <c r="J131" s="6"/>
    </row>
    <row r="132" spans="1:10">
      <c r="A132" s="4"/>
      <c r="B132" s="4"/>
      <c r="C132" s="4"/>
      <c r="D132" s="4" t="s">
        <v>1009</v>
      </c>
      <c r="E132" s="4" t="s">
        <v>1010</v>
      </c>
      <c r="F132" s="4" t="s">
        <v>1011</v>
      </c>
      <c r="G132" s="4" t="s">
        <v>999</v>
      </c>
      <c r="H132" s="4"/>
      <c r="I132" s="4"/>
      <c r="J132" s="6"/>
    </row>
    <row r="133" spans="1:10" ht="28.5">
      <c r="A133" s="4"/>
      <c r="B133" s="4"/>
      <c r="C133" s="4"/>
      <c r="D133" s="4" t="s">
        <v>1012</v>
      </c>
      <c r="E133" s="4" t="s">
        <v>1013</v>
      </c>
      <c r="F133" s="4" t="s">
        <v>1014</v>
      </c>
      <c r="G133" s="4" t="s">
        <v>999</v>
      </c>
      <c r="H133" s="4"/>
      <c r="I133" s="4"/>
      <c r="J133" s="6"/>
    </row>
    <row r="134" spans="1:10" ht="28.5">
      <c r="A134" s="4"/>
      <c r="B134" s="4"/>
      <c r="C134" s="4"/>
      <c r="D134" s="4" t="s">
        <v>996</v>
      </c>
      <c r="E134" s="4" t="s">
        <v>997</v>
      </c>
      <c r="F134" s="4" t="s">
        <v>998</v>
      </c>
      <c r="G134" s="4" t="s">
        <v>999</v>
      </c>
      <c r="H134" s="4"/>
      <c r="I134" s="4"/>
      <c r="J134" s="6"/>
    </row>
    <row r="135" spans="1:10" ht="28.5">
      <c r="A135" s="4"/>
      <c r="B135" s="4"/>
      <c r="C135" s="4"/>
      <c r="D135" s="4" t="s">
        <v>1000</v>
      </c>
      <c r="E135" s="4" t="s">
        <v>1001</v>
      </c>
      <c r="F135" s="4" t="s">
        <v>1002</v>
      </c>
      <c r="G135" s="4" t="s">
        <v>999</v>
      </c>
      <c r="H135" s="4"/>
      <c r="I135" s="4"/>
      <c r="J135" s="6"/>
    </row>
    <row r="136" spans="1:10" ht="28.5">
      <c r="A136" s="4"/>
      <c r="B136" s="4"/>
      <c r="C136" s="4"/>
      <c r="D136" s="4" t="s">
        <v>1003</v>
      </c>
      <c r="E136" s="4" t="s">
        <v>1004</v>
      </c>
      <c r="F136" s="4" t="s">
        <v>1005</v>
      </c>
      <c r="G136" s="4" t="s">
        <v>999</v>
      </c>
      <c r="H136" s="4"/>
      <c r="I136" s="4"/>
      <c r="J136" s="6"/>
    </row>
    <row r="137" spans="1:10" ht="28.5">
      <c r="A137" s="4"/>
      <c r="B137" s="4"/>
      <c r="C137" s="4"/>
      <c r="D137" s="4" t="s">
        <v>1006</v>
      </c>
      <c r="E137" s="4" t="s">
        <v>1007</v>
      </c>
      <c r="F137" s="4" t="s">
        <v>1008</v>
      </c>
      <c r="G137" s="4" t="s">
        <v>999</v>
      </c>
      <c r="H137" s="4"/>
      <c r="I137" s="4"/>
      <c r="J137" s="6"/>
    </row>
    <row r="138" spans="1:10">
      <c r="A138" s="4"/>
      <c r="B138" s="4"/>
      <c r="C138" s="4"/>
      <c r="D138" s="4" t="s">
        <v>1009</v>
      </c>
      <c r="E138" s="4" t="s">
        <v>1010</v>
      </c>
      <c r="F138" s="4" t="s">
        <v>1011</v>
      </c>
      <c r="G138" s="4" t="s">
        <v>999</v>
      </c>
      <c r="H138" s="4"/>
      <c r="I138" s="4"/>
      <c r="J138" s="6"/>
    </row>
    <row r="139" spans="1:10" ht="28.5">
      <c r="A139" s="4"/>
      <c r="B139" s="4"/>
      <c r="C139" s="4"/>
      <c r="D139" s="4" t="s">
        <v>1012</v>
      </c>
      <c r="E139" s="4" t="s">
        <v>1013</v>
      </c>
      <c r="F139" s="4" t="s">
        <v>1014</v>
      </c>
      <c r="G139" s="4" t="s">
        <v>999</v>
      </c>
      <c r="H139" s="4"/>
      <c r="I139" s="4"/>
      <c r="J139" s="6"/>
    </row>
    <row r="140" spans="1:10" ht="28.5">
      <c r="A140" s="4"/>
      <c r="B140" s="4"/>
      <c r="C140" s="4"/>
      <c r="D140" s="4" t="s">
        <v>996</v>
      </c>
      <c r="E140" s="4" t="s">
        <v>997</v>
      </c>
      <c r="F140" s="4" t="s">
        <v>998</v>
      </c>
      <c r="G140" s="4" t="s">
        <v>999</v>
      </c>
      <c r="H140" s="4"/>
      <c r="I140" s="4"/>
      <c r="J140" s="6"/>
    </row>
    <row r="141" spans="1:10" ht="28.5">
      <c r="A141" s="4"/>
      <c r="B141" s="4"/>
      <c r="C141" s="4"/>
      <c r="D141" s="4" t="s">
        <v>1000</v>
      </c>
      <c r="E141" s="4" t="s">
        <v>1001</v>
      </c>
      <c r="F141" s="4" t="s">
        <v>1002</v>
      </c>
      <c r="G141" s="4" t="s">
        <v>999</v>
      </c>
      <c r="H141" s="4"/>
      <c r="I141" s="4"/>
      <c r="J141" s="6"/>
    </row>
    <row r="142" spans="1:10" ht="28.5">
      <c r="A142" s="4"/>
      <c r="B142" s="4"/>
      <c r="C142" s="4"/>
      <c r="D142" s="4" t="s">
        <v>1003</v>
      </c>
      <c r="E142" s="4" t="s">
        <v>1004</v>
      </c>
      <c r="F142" s="4" t="s">
        <v>1005</v>
      </c>
      <c r="G142" s="4" t="s">
        <v>999</v>
      </c>
      <c r="H142" s="4"/>
      <c r="I142" s="4"/>
      <c r="J142" s="6"/>
    </row>
    <row r="143" spans="1:10" ht="28.5">
      <c r="A143" s="4"/>
      <c r="B143" s="4"/>
      <c r="C143" s="4"/>
      <c r="D143" s="4" t="s">
        <v>1006</v>
      </c>
      <c r="E143" s="4" t="s">
        <v>1007</v>
      </c>
      <c r="F143" s="4" t="s">
        <v>1008</v>
      </c>
      <c r="G143" s="4" t="s">
        <v>999</v>
      </c>
      <c r="H143" s="4"/>
      <c r="I143" s="4"/>
      <c r="J143" s="6"/>
    </row>
    <row r="144" spans="1:10">
      <c r="A144" s="4"/>
      <c r="B144" s="4"/>
      <c r="C144" s="4"/>
      <c r="D144" s="4" t="s">
        <v>1009</v>
      </c>
      <c r="E144" s="4" t="s">
        <v>1010</v>
      </c>
      <c r="F144" s="4" t="s">
        <v>1011</v>
      </c>
      <c r="G144" s="4" t="s">
        <v>999</v>
      </c>
      <c r="H144" s="4"/>
      <c r="I144" s="4"/>
      <c r="J144" s="6"/>
    </row>
    <row r="145" spans="1:10" ht="28.5">
      <c r="A145" s="4"/>
      <c r="B145" s="4"/>
      <c r="C145" s="4"/>
      <c r="D145" s="4" t="s">
        <v>1012</v>
      </c>
      <c r="E145" s="4" t="s">
        <v>1013</v>
      </c>
      <c r="F145" s="4" t="s">
        <v>1014</v>
      </c>
      <c r="G145" s="4" t="s">
        <v>999</v>
      </c>
      <c r="H145" s="4"/>
      <c r="I145" s="4"/>
      <c r="J145" s="6"/>
    </row>
    <row r="146" spans="1:10" ht="28.5">
      <c r="A146" s="4"/>
      <c r="B146" s="4"/>
      <c r="C146" s="4"/>
      <c r="D146" s="4" t="s">
        <v>996</v>
      </c>
      <c r="E146" s="4" t="s">
        <v>997</v>
      </c>
      <c r="F146" s="4" t="s">
        <v>998</v>
      </c>
      <c r="G146" s="4" t="s">
        <v>999</v>
      </c>
      <c r="H146" s="4"/>
      <c r="I146" s="4"/>
      <c r="J146" s="6"/>
    </row>
    <row r="147" spans="1:10" ht="28.5">
      <c r="A147" s="4"/>
      <c r="B147" s="4"/>
      <c r="C147" s="4"/>
      <c r="D147" s="4" t="s">
        <v>1000</v>
      </c>
      <c r="E147" s="4" t="s">
        <v>1001</v>
      </c>
      <c r="F147" s="4" t="s">
        <v>1002</v>
      </c>
      <c r="G147" s="4" t="s">
        <v>999</v>
      </c>
      <c r="H147" s="4"/>
      <c r="I147" s="4"/>
      <c r="J147" s="6"/>
    </row>
    <row r="148" spans="1:10" ht="28.5">
      <c r="A148" s="4"/>
      <c r="B148" s="4"/>
      <c r="C148" s="4"/>
      <c r="D148" s="4" t="s">
        <v>1003</v>
      </c>
      <c r="E148" s="4" t="s">
        <v>1004</v>
      </c>
      <c r="F148" s="4" t="s">
        <v>1005</v>
      </c>
      <c r="G148" s="4" t="s">
        <v>999</v>
      </c>
      <c r="H148" s="4"/>
      <c r="I148" s="4"/>
      <c r="J148" s="6"/>
    </row>
    <row r="149" spans="1:10" ht="28.5">
      <c r="A149" s="4"/>
      <c r="B149" s="4"/>
      <c r="C149" s="4"/>
      <c r="D149" s="4" t="s">
        <v>1006</v>
      </c>
      <c r="E149" s="4" t="s">
        <v>1007</v>
      </c>
      <c r="F149" s="4" t="s">
        <v>1008</v>
      </c>
      <c r="G149" s="4" t="s">
        <v>999</v>
      </c>
      <c r="H149" s="4"/>
      <c r="I149" s="4"/>
      <c r="J149" s="6"/>
    </row>
    <row r="150" spans="1:10">
      <c r="A150" s="4"/>
      <c r="B150" s="4"/>
      <c r="C150" s="4"/>
      <c r="D150" s="4" t="s">
        <v>1009</v>
      </c>
      <c r="E150" s="4" t="s">
        <v>1010</v>
      </c>
      <c r="F150" s="4" t="s">
        <v>1011</v>
      </c>
      <c r="G150" s="4" t="s">
        <v>999</v>
      </c>
      <c r="H150" s="4"/>
      <c r="I150" s="4"/>
      <c r="J150" s="6"/>
    </row>
    <row r="151" spans="1:10" ht="28.5">
      <c r="A151" s="4"/>
      <c r="B151" s="4"/>
      <c r="C151" s="4"/>
      <c r="D151" s="4" t="s">
        <v>1012</v>
      </c>
      <c r="E151" s="4" t="s">
        <v>1013</v>
      </c>
      <c r="F151" s="4" t="s">
        <v>1014</v>
      </c>
      <c r="G151" s="4" t="s">
        <v>999</v>
      </c>
      <c r="H151" s="4"/>
      <c r="I151" s="4"/>
      <c r="J151" s="6"/>
    </row>
    <row r="152" spans="1:10" ht="28.5">
      <c r="A152" s="4"/>
      <c r="B152" s="4"/>
      <c r="C152" s="4"/>
      <c r="D152" s="4" t="s">
        <v>996</v>
      </c>
      <c r="E152" s="4" t="s">
        <v>997</v>
      </c>
      <c r="F152" s="4" t="s">
        <v>998</v>
      </c>
      <c r="G152" s="4" t="s">
        <v>999</v>
      </c>
      <c r="H152" s="4"/>
      <c r="I152" s="4"/>
      <c r="J152" s="6"/>
    </row>
    <row r="153" spans="1:10" ht="28.5">
      <c r="A153" s="4"/>
      <c r="B153" s="4"/>
      <c r="C153" s="4"/>
      <c r="D153" s="4" t="s">
        <v>1000</v>
      </c>
      <c r="E153" s="4" t="s">
        <v>1001</v>
      </c>
      <c r="F153" s="4" t="s">
        <v>1002</v>
      </c>
      <c r="G153" s="4" t="s">
        <v>999</v>
      </c>
      <c r="H153" s="4"/>
      <c r="I153" s="4"/>
      <c r="J153" s="6"/>
    </row>
    <row r="154" spans="1:10" ht="28.5">
      <c r="A154" s="4"/>
      <c r="B154" s="4"/>
      <c r="C154" s="4"/>
      <c r="D154" s="4" t="s">
        <v>1003</v>
      </c>
      <c r="E154" s="4" t="s">
        <v>1004</v>
      </c>
      <c r="F154" s="4" t="s">
        <v>1005</v>
      </c>
      <c r="G154" s="4" t="s">
        <v>999</v>
      </c>
      <c r="H154" s="4"/>
      <c r="I154" s="4"/>
      <c r="J154" s="6"/>
    </row>
    <row r="155" spans="1:10" ht="28.5">
      <c r="A155" s="4"/>
      <c r="B155" s="4"/>
      <c r="C155" s="4"/>
      <c r="D155" s="4" t="s">
        <v>1006</v>
      </c>
      <c r="E155" s="4" t="s">
        <v>1007</v>
      </c>
      <c r="F155" s="4" t="s">
        <v>1008</v>
      </c>
      <c r="G155" s="4" t="s">
        <v>999</v>
      </c>
      <c r="H155" s="4"/>
      <c r="I155" s="4"/>
      <c r="J155" s="6"/>
    </row>
    <row r="156" spans="1:10">
      <c r="A156" s="4"/>
      <c r="B156" s="4"/>
      <c r="C156" s="4"/>
      <c r="D156" s="4" t="s">
        <v>1009</v>
      </c>
      <c r="E156" s="4" t="s">
        <v>1010</v>
      </c>
      <c r="F156" s="4" t="s">
        <v>1011</v>
      </c>
      <c r="G156" s="4" t="s">
        <v>999</v>
      </c>
      <c r="H156" s="4"/>
      <c r="I156" s="4"/>
      <c r="J156" s="6"/>
    </row>
    <row r="157" spans="1:10" ht="28.5">
      <c r="A157" s="4"/>
      <c r="B157" s="4"/>
      <c r="C157" s="4"/>
      <c r="D157" s="4" t="s">
        <v>1012</v>
      </c>
      <c r="E157" s="4" t="s">
        <v>1013</v>
      </c>
      <c r="F157" s="4" t="s">
        <v>1014</v>
      </c>
      <c r="G157" s="4" t="s">
        <v>999</v>
      </c>
      <c r="H157" s="4"/>
      <c r="I157" s="4"/>
      <c r="J157" s="6"/>
    </row>
    <row r="158" spans="1:10" ht="28.5">
      <c r="A158" s="4"/>
      <c r="B158" s="4"/>
      <c r="C158" s="4"/>
      <c r="D158" s="4" t="s">
        <v>996</v>
      </c>
      <c r="E158" s="4" t="s">
        <v>997</v>
      </c>
      <c r="F158" s="4" t="s">
        <v>998</v>
      </c>
      <c r="G158" s="4" t="s">
        <v>999</v>
      </c>
      <c r="H158" s="4"/>
      <c r="I158" s="4"/>
      <c r="J158" s="6"/>
    </row>
    <row r="159" spans="1:10" ht="28.5">
      <c r="A159" s="4"/>
      <c r="B159" s="4"/>
      <c r="C159" s="4"/>
      <c r="D159" s="4" t="s">
        <v>1000</v>
      </c>
      <c r="E159" s="4" t="s">
        <v>1001</v>
      </c>
      <c r="F159" s="4" t="s">
        <v>1002</v>
      </c>
      <c r="G159" s="4" t="s">
        <v>999</v>
      </c>
      <c r="H159" s="4"/>
      <c r="I159" s="4"/>
      <c r="J159" s="6"/>
    </row>
    <row r="160" spans="1:10" ht="28.5">
      <c r="A160" s="4"/>
      <c r="B160" s="4"/>
      <c r="C160" s="4"/>
      <c r="D160" s="4" t="s">
        <v>1003</v>
      </c>
      <c r="E160" s="4" t="s">
        <v>1004</v>
      </c>
      <c r="F160" s="4" t="s">
        <v>1005</v>
      </c>
      <c r="G160" s="4" t="s">
        <v>999</v>
      </c>
      <c r="H160" s="4"/>
      <c r="I160" s="4"/>
      <c r="J160" s="6"/>
    </row>
    <row r="161" spans="1:10" ht="28.5">
      <c r="A161" s="4"/>
      <c r="B161" s="4"/>
      <c r="C161" s="4"/>
      <c r="D161" s="4" t="s">
        <v>1006</v>
      </c>
      <c r="E161" s="4" t="s">
        <v>1007</v>
      </c>
      <c r="F161" s="4" t="s">
        <v>1008</v>
      </c>
      <c r="G161" s="4" t="s">
        <v>999</v>
      </c>
      <c r="H161" s="4"/>
      <c r="I161" s="4"/>
      <c r="J161" s="6"/>
    </row>
    <row r="162" spans="1:10">
      <c r="A162" s="4"/>
      <c r="B162" s="4"/>
      <c r="C162" s="4"/>
      <c r="D162" s="4" t="s">
        <v>1009</v>
      </c>
      <c r="E162" s="4" t="s">
        <v>1010</v>
      </c>
      <c r="F162" s="4" t="s">
        <v>1011</v>
      </c>
      <c r="G162" s="4" t="s">
        <v>999</v>
      </c>
      <c r="H162" s="4"/>
      <c r="I162" s="4"/>
      <c r="J162" s="6"/>
    </row>
    <row r="163" spans="1:10" ht="28.5">
      <c r="A163" s="4"/>
      <c r="B163" s="4"/>
      <c r="C163" s="4"/>
      <c r="D163" s="4" t="s">
        <v>1012</v>
      </c>
      <c r="E163" s="4" t="s">
        <v>1013</v>
      </c>
      <c r="F163" s="4" t="s">
        <v>1014</v>
      </c>
      <c r="G163" s="4" t="s">
        <v>999</v>
      </c>
      <c r="H163" s="4"/>
      <c r="I163" s="4"/>
      <c r="J163" s="6"/>
    </row>
    <row r="164" spans="1:10" ht="28.5">
      <c r="A164" s="4"/>
      <c r="B164" s="4"/>
      <c r="C164" s="4"/>
      <c r="D164" s="4" t="s">
        <v>996</v>
      </c>
      <c r="E164" s="4" t="s">
        <v>997</v>
      </c>
      <c r="F164" s="4" t="s">
        <v>998</v>
      </c>
      <c r="G164" s="4" t="s">
        <v>999</v>
      </c>
      <c r="H164" s="4"/>
      <c r="I164" s="4"/>
      <c r="J164" s="6"/>
    </row>
    <row r="165" spans="1:10" ht="28.5">
      <c r="A165" s="4"/>
      <c r="B165" s="4"/>
      <c r="C165" s="4"/>
      <c r="D165" s="4" t="s">
        <v>1000</v>
      </c>
      <c r="E165" s="4" t="s">
        <v>1001</v>
      </c>
      <c r="F165" s="4" t="s">
        <v>1002</v>
      </c>
      <c r="G165" s="4" t="s">
        <v>999</v>
      </c>
      <c r="H165" s="4"/>
      <c r="I165" s="4"/>
      <c r="J165" s="6"/>
    </row>
    <row r="166" spans="1:10" ht="28.5">
      <c r="A166" s="4"/>
      <c r="B166" s="4"/>
      <c r="C166" s="4"/>
      <c r="D166" s="4" t="s">
        <v>1003</v>
      </c>
      <c r="E166" s="4" t="s">
        <v>1004</v>
      </c>
      <c r="F166" s="4" t="s">
        <v>1005</v>
      </c>
      <c r="G166" s="4" t="s">
        <v>999</v>
      </c>
      <c r="H166" s="4"/>
      <c r="I166" s="4"/>
      <c r="J166" s="6"/>
    </row>
    <row r="167" spans="1:10" ht="28.5">
      <c r="A167" s="4"/>
      <c r="B167" s="4"/>
      <c r="C167" s="4"/>
      <c r="D167" s="4" t="s">
        <v>1006</v>
      </c>
      <c r="E167" s="4" t="s">
        <v>1007</v>
      </c>
      <c r="F167" s="4" t="s">
        <v>1008</v>
      </c>
      <c r="G167" s="4" t="s">
        <v>999</v>
      </c>
      <c r="H167" s="4"/>
      <c r="I167" s="4"/>
      <c r="J167" s="6"/>
    </row>
    <row r="168" spans="1:10">
      <c r="A168" s="4"/>
      <c r="B168" s="4"/>
      <c r="C168" s="4"/>
      <c r="D168" s="4" t="s">
        <v>1009</v>
      </c>
      <c r="E168" s="4" t="s">
        <v>1010</v>
      </c>
      <c r="F168" s="4" t="s">
        <v>1011</v>
      </c>
      <c r="G168" s="4" t="s">
        <v>999</v>
      </c>
      <c r="H168" s="4"/>
      <c r="I168" s="4"/>
      <c r="J168" s="6"/>
    </row>
    <row r="169" spans="1:10" ht="28.5">
      <c r="A169" s="4"/>
      <c r="B169" s="4"/>
      <c r="C169" s="4"/>
      <c r="D169" s="4" t="s">
        <v>1012</v>
      </c>
      <c r="E169" s="4" t="s">
        <v>1013</v>
      </c>
      <c r="F169" s="4" t="s">
        <v>1014</v>
      </c>
      <c r="G169" s="4" t="s">
        <v>999</v>
      </c>
      <c r="H169" s="4"/>
      <c r="I169" s="4"/>
      <c r="J169" s="6"/>
    </row>
    <row r="170" spans="1:10" ht="28.5">
      <c r="A170" s="4"/>
      <c r="B170" s="4"/>
      <c r="C170" s="4"/>
      <c r="D170" s="4" t="s">
        <v>996</v>
      </c>
      <c r="E170" s="4" t="s">
        <v>997</v>
      </c>
      <c r="F170" s="4" t="s">
        <v>998</v>
      </c>
      <c r="G170" s="4" t="s">
        <v>999</v>
      </c>
      <c r="H170" s="4"/>
      <c r="I170" s="4"/>
      <c r="J170" s="6"/>
    </row>
    <row r="171" spans="1:10" ht="28.5">
      <c r="A171" s="4"/>
      <c r="B171" s="4"/>
      <c r="C171" s="4"/>
      <c r="D171" s="4" t="s">
        <v>1000</v>
      </c>
      <c r="E171" s="4" t="s">
        <v>1001</v>
      </c>
      <c r="F171" s="4" t="s">
        <v>1002</v>
      </c>
      <c r="G171" s="4" t="s">
        <v>999</v>
      </c>
      <c r="H171" s="4"/>
      <c r="I171" s="4"/>
      <c r="J171" s="6"/>
    </row>
    <row r="172" spans="1:10" ht="28.5">
      <c r="A172" s="4"/>
      <c r="B172" s="4"/>
      <c r="C172" s="4"/>
      <c r="D172" s="4" t="s">
        <v>1003</v>
      </c>
      <c r="E172" s="4" t="s">
        <v>1004</v>
      </c>
      <c r="F172" s="4" t="s">
        <v>1005</v>
      </c>
      <c r="G172" s="4" t="s">
        <v>999</v>
      </c>
      <c r="H172" s="4"/>
      <c r="I172" s="4"/>
      <c r="J172" s="6"/>
    </row>
    <row r="173" spans="1:10" ht="28.5">
      <c r="A173" s="4"/>
      <c r="B173" s="4"/>
      <c r="C173" s="4"/>
      <c r="D173" s="4" t="s">
        <v>1006</v>
      </c>
      <c r="E173" s="4" t="s">
        <v>1007</v>
      </c>
      <c r="F173" s="4" t="s">
        <v>1008</v>
      </c>
      <c r="G173" s="4" t="s">
        <v>999</v>
      </c>
      <c r="H173" s="4"/>
      <c r="I173" s="4"/>
      <c r="J173" s="6"/>
    </row>
    <row r="174" spans="1:10">
      <c r="A174" s="4"/>
      <c r="B174" s="4"/>
      <c r="C174" s="4"/>
      <c r="D174" s="4" t="s">
        <v>1009</v>
      </c>
      <c r="E174" s="4" t="s">
        <v>1010</v>
      </c>
      <c r="F174" s="4" t="s">
        <v>1011</v>
      </c>
      <c r="G174" s="4" t="s">
        <v>999</v>
      </c>
      <c r="H174" s="4"/>
      <c r="I174" s="4"/>
      <c r="J174" s="6"/>
    </row>
    <row r="175" spans="1:10" ht="28.5">
      <c r="A175" s="4"/>
      <c r="B175" s="4"/>
      <c r="C175" s="4"/>
      <c r="D175" s="4" t="s">
        <v>1012</v>
      </c>
      <c r="E175" s="4" t="s">
        <v>1013</v>
      </c>
      <c r="F175" s="4" t="s">
        <v>1014</v>
      </c>
      <c r="G175" s="4" t="s">
        <v>999</v>
      </c>
      <c r="H175" s="4"/>
      <c r="I175" s="4"/>
      <c r="J175" s="6"/>
    </row>
    <row r="176" spans="1:10" ht="28.5">
      <c r="A176" s="4"/>
      <c r="B176" s="4"/>
      <c r="C176" s="4"/>
      <c r="D176" s="4" t="s">
        <v>996</v>
      </c>
      <c r="E176" s="4" t="s">
        <v>997</v>
      </c>
      <c r="F176" s="4" t="s">
        <v>998</v>
      </c>
      <c r="G176" s="4" t="s">
        <v>999</v>
      </c>
      <c r="H176" s="4"/>
      <c r="I176" s="4"/>
      <c r="J176" s="6"/>
    </row>
    <row r="177" spans="1:10" ht="28.5">
      <c r="A177" s="4"/>
      <c r="B177" s="4"/>
      <c r="C177" s="4"/>
      <c r="D177" s="4" t="s">
        <v>1000</v>
      </c>
      <c r="E177" s="4" t="s">
        <v>1001</v>
      </c>
      <c r="F177" s="4" t="s">
        <v>1002</v>
      </c>
      <c r="G177" s="4" t="s">
        <v>999</v>
      </c>
      <c r="H177" s="4"/>
      <c r="I177" s="4"/>
      <c r="J177" s="6"/>
    </row>
    <row r="178" spans="1:10" ht="28.5">
      <c r="A178" s="4"/>
      <c r="B178" s="4"/>
      <c r="C178" s="4"/>
      <c r="D178" s="4" t="s">
        <v>1003</v>
      </c>
      <c r="E178" s="4" t="s">
        <v>1004</v>
      </c>
      <c r="F178" s="4" t="s">
        <v>1005</v>
      </c>
      <c r="G178" s="4" t="s">
        <v>999</v>
      </c>
      <c r="H178" s="4"/>
      <c r="I178" s="4"/>
      <c r="J178" s="6"/>
    </row>
    <row r="179" spans="1:10" ht="28.5">
      <c r="A179" s="4"/>
      <c r="B179" s="4"/>
      <c r="C179" s="4"/>
      <c r="D179" s="4" t="s">
        <v>1006</v>
      </c>
      <c r="E179" s="4" t="s">
        <v>1007</v>
      </c>
      <c r="F179" s="4" t="s">
        <v>1008</v>
      </c>
      <c r="G179" s="4" t="s">
        <v>999</v>
      </c>
      <c r="H179" s="4"/>
      <c r="I179" s="4"/>
      <c r="J179" s="6"/>
    </row>
    <row r="180" spans="1:10">
      <c r="A180" s="4"/>
      <c r="B180" s="4"/>
      <c r="C180" s="4"/>
      <c r="D180" s="4" t="s">
        <v>1009</v>
      </c>
      <c r="E180" s="4" t="s">
        <v>1010</v>
      </c>
      <c r="F180" s="4" t="s">
        <v>1011</v>
      </c>
      <c r="G180" s="4" t="s">
        <v>999</v>
      </c>
      <c r="H180" s="4"/>
      <c r="I180" s="4"/>
      <c r="J180" s="6"/>
    </row>
    <row r="181" spans="1:10" ht="28.5">
      <c r="A181" s="4"/>
      <c r="B181" s="4"/>
      <c r="C181" s="4"/>
      <c r="D181" s="4" t="s">
        <v>1012</v>
      </c>
      <c r="E181" s="4" t="s">
        <v>1013</v>
      </c>
      <c r="F181" s="4" t="s">
        <v>1014</v>
      </c>
      <c r="G181" s="4" t="s">
        <v>999</v>
      </c>
      <c r="H181" s="4"/>
      <c r="I181" s="4"/>
      <c r="J181" s="6"/>
    </row>
    <row r="182" spans="1:10" ht="28.5">
      <c r="A182" s="4"/>
      <c r="B182" s="4"/>
      <c r="C182" s="4"/>
      <c r="D182" s="4" t="s">
        <v>996</v>
      </c>
      <c r="E182" s="4" t="s">
        <v>997</v>
      </c>
      <c r="F182" s="4" t="s">
        <v>998</v>
      </c>
      <c r="G182" s="4" t="s">
        <v>999</v>
      </c>
      <c r="H182" s="4"/>
      <c r="I182" s="4"/>
      <c r="J182" s="6"/>
    </row>
    <row r="183" spans="1:10" ht="28.5">
      <c r="A183" s="4"/>
      <c r="B183" s="4"/>
      <c r="C183" s="4"/>
      <c r="D183" s="4" t="s">
        <v>1000</v>
      </c>
      <c r="E183" s="4" t="s">
        <v>1001</v>
      </c>
      <c r="F183" s="4" t="s">
        <v>1002</v>
      </c>
      <c r="G183" s="4" t="s">
        <v>999</v>
      </c>
      <c r="H183" s="4"/>
      <c r="I183" s="4"/>
      <c r="J183" s="6"/>
    </row>
    <row r="184" spans="1:10" ht="28.5">
      <c r="A184" s="4"/>
      <c r="B184" s="4"/>
      <c r="C184" s="4"/>
      <c r="D184" s="4" t="s">
        <v>1003</v>
      </c>
      <c r="E184" s="4" t="s">
        <v>1004</v>
      </c>
      <c r="F184" s="4" t="s">
        <v>1005</v>
      </c>
      <c r="G184" s="4" t="s">
        <v>999</v>
      </c>
      <c r="H184" s="4"/>
      <c r="I184" s="4"/>
      <c r="J184" s="6"/>
    </row>
    <row r="185" spans="1:10" ht="28.5">
      <c r="A185" s="4"/>
      <c r="B185" s="4"/>
      <c r="C185" s="4"/>
      <c r="D185" s="4" t="s">
        <v>1006</v>
      </c>
      <c r="E185" s="4" t="s">
        <v>1007</v>
      </c>
      <c r="F185" s="4" t="s">
        <v>1008</v>
      </c>
      <c r="G185" s="4" t="s">
        <v>999</v>
      </c>
      <c r="H185" s="4"/>
      <c r="I185" s="4"/>
      <c r="J185" s="6"/>
    </row>
    <row r="186" spans="1:10">
      <c r="A186" s="4"/>
      <c r="B186" s="4"/>
      <c r="C186" s="4"/>
      <c r="D186" s="4" t="s">
        <v>1009</v>
      </c>
      <c r="E186" s="4" t="s">
        <v>1010</v>
      </c>
      <c r="F186" s="4" t="s">
        <v>1011</v>
      </c>
      <c r="G186" s="4" t="s">
        <v>999</v>
      </c>
      <c r="H186" s="4"/>
      <c r="I186" s="4"/>
      <c r="J186" s="6"/>
    </row>
    <row r="187" spans="1:10" ht="28.5">
      <c r="A187" s="4"/>
      <c r="B187" s="4"/>
      <c r="C187" s="4"/>
      <c r="D187" s="4" t="s">
        <v>1012</v>
      </c>
      <c r="E187" s="4" t="s">
        <v>1013</v>
      </c>
      <c r="F187" s="4" t="s">
        <v>1014</v>
      </c>
      <c r="G187" s="4" t="s">
        <v>999</v>
      </c>
      <c r="H187" s="4"/>
      <c r="I187" s="4"/>
      <c r="J187" s="6"/>
    </row>
    <row r="188" spans="1:10" ht="28.5">
      <c r="A188" s="4"/>
      <c r="B188" s="4"/>
      <c r="C188" s="4"/>
      <c r="D188" s="4" t="s">
        <v>996</v>
      </c>
      <c r="E188" s="4" t="s">
        <v>997</v>
      </c>
      <c r="F188" s="4" t="s">
        <v>998</v>
      </c>
      <c r="G188" s="4" t="s">
        <v>999</v>
      </c>
      <c r="H188" s="4"/>
      <c r="I188" s="4"/>
      <c r="J188" s="6"/>
    </row>
    <row r="189" spans="1:10" ht="28.5">
      <c r="A189" s="4"/>
      <c r="B189" s="4"/>
      <c r="C189" s="4"/>
      <c r="D189" s="4" t="s">
        <v>1000</v>
      </c>
      <c r="E189" s="4" t="s">
        <v>1001</v>
      </c>
      <c r="F189" s="4" t="s">
        <v>1002</v>
      </c>
      <c r="G189" s="4" t="s">
        <v>999</v>
      </c>
      <c r="H189" s="4"/>
      <c r="I189" s="4"/>
      <c r="J189" s="6"/>
    </row>
    <row r="190" spans="1:10" ht="28.5">
      <c r="A190" s="4"/>
      <c r="B190" s="4"/>
      <c r="C190" s="4"/>
      <c r="D190" s="4" t="s">
        <v>1003</v>
      </c>
      <c r="E190" s="4" t="s">
        <v>1004</v>
      </c>
      <c r="F190" s="4" t="s">
        <v>1005</v>
      </c>
      <c r="G190" s="4" t="s">
        <v>999</v>
      </c>
      <c r="H190" s="4"/>
      <c r="I190" s="4"/>
      <c r="J190" s="6"/>
    </row>
    <row r="191" spans="1:10" ht="28.5">
      <c r="A191" s="4"/>
      <c r="B191" s="4"/>
      <c r="C191" s="4"/>
      <c r="D191" s="4" t="s">
        <v>1006</v>
      </c>
      <c r="E191" s="4" t="s">
        <v>1007</v>
      </c>
      <c r="F191" s="4" t="s">
        <v>1008</v>
      </c>
      <c r="G191" s="4" t="s">
        <v>999</v>
      </c>
      <c r="H191" s="4"/>
      <c r="I191" s="4"/>
      <c r="J191" s="6"/>
    </row>
    <row r="192" spans="1:10">
      <c r="A192" s="4"/>
      <c r="B192" s="4"/>
      <c r="C192" s="4"/>
      <c r="D192" s="4" t="s">
        <v>1009</v>
      </c>
      <c r="E192" s="4" t="s">
        <v>1010</v>
      </c>
      <c r="F192" s="4" t="s">
        <v>1011</v>
      </c>
      <c r="G192" s="4" t="s">
        <v>999</v>
      </c>
      <c r="H192" s="4"/>
      <c r="I192" s="4"/>
      <c r="J192" s="6"/>
    </row>
    <row r="193" spans="1:10" ht="28.5">
      <c r="A193" s="4"/>
      <c r="B193" s="4"/>
      <c r="C193" s="4"/>
      <c r="D193" s="4" t="s">
        <v>1012</v>
      </c>
      <c r="E193" s="4" t="s">
        <v>1013</v>
      </c>
      <c r="F193" s="4" t="s">
        <v>1014</v>
      </c>
      <c r="G193" s="4" t="s">
        <v>999</v>
      </c>
      <c r="H193" s="4"/>
      <c r="I193" s="4"/>
      <c r="J193" s="6"/>
    </row>
    <row r="194" spans="1:10" ht="28.5">
      <c r="A194" s="4"/>
      <c r="B194" s="4"/>
      <c r="C194" s="4"/>
      <c r="D194" s="4" t="s">
        <v>996</v>
      </c>
      <c r="E194" s="4" t="s">
        <v>997</v>
      </c>
      <c r="F194" s="4" t="s">
        <v>998</v>
      </c>
      <c r="G194" s="4" t="s">
        <v>999</v>
      </c>
      <c r="H194" s="4"/>
      <c r="I194" s="4"/>
      <c r="J194" s="6"/>
    </row>
    <row r="195" spans="1:10" ht="28.5">
      <c r="A195" s="4"/>
      <c r="B195" s="4"/>
      <c r="C195" s="4"/>
      <c r="D195" s="4" t="s">
        <v>1000</v>
      </c>
      <c r="E195" s="4" t="s">
        <v>1001</v>
      </c>
      <c r="F195" s="4" t="s">
        <v>1002</v>
      </c>
      <c r="G195" s="4" t="s">
        <v>999</v>
      </c>
      <c r="H195" s="4"/>
      <c r="I195" s="4"/>
      <c r="J195" s="6"/>
    </row>
    <row r="196" spans="1:10" ht="28.5">
      <c r="A196" s="4"/>
      <c r="B196" s="4"/>
      <c r="C196" s="4"/>
      <c r="D196" s="4" t="s">
        <v>1003</v>
      </c>
      <c r="E196" s="4" t="s">
        <v>1004</v>
      </c>
      <c r="F196" s="4" t="s">
        <v>1005</v>
      </c>
      <c r="G196" s="4" t="s">
        <v>999</v>
      </c>
      <c r="H196" s="4"/>
      <c r="I196" s="4"/>
      <c r="J196" s="6"/>
    </row>
    <row r="197" spans="1:10" ht="28.5">
      <c r="A197" s="4"/>
      <c r="B197" s="4"/>
      <c r="C197" s="4"/>
      <c r="D197" s="4" t="s">
        <v>1006</v>
      </c>
      <c r="E197" s="4" t="s">
        <v>1007</v>
      </c>
      <c r="F197" s="4" t="s">
        <v>1008</v>
      </c>
      <c r="G197" s="4" t="s">
        <v>999</v>
      </c>
      <c r="H197" s="4"/>
      <c r="I197" s="4"/>
      <c r="J197" s="6"/>
    </row>
    <row r="198" spans="1:10">
      <c r="A198" s="4"/>
      <c r="B198" s="4"/>
      <c r="C198" s="4"/>
      <c r="D198" s="4" t="s">
        <v>1009</v>
      </c>
      <c r="E198" s="4" t="s">
        <v>1010</v>
      </c>
      <c r="F198" s="4" t="s">
        <v>1011</v>
      </c>
      <c r="G198" s="4" t="s">
        <v>999</v>
      </c>
      <c r="H198" s="4"/>
      <c r="I198" s="4"/>
      <c r="J198" s="6"/>
    </row>
    <row r="199" spans="1:10" ht="28.5">
      <c r="A199" s="4"/>
      <c r="B199" s="4"/>
      <c r="C199" s="4"/>
      <c r="D199" s="4" t="s">
        <v>1012</v>
      </c>
      <c r="E199" s="4" t="s">
        <v>1013</v>
      </c>
      <c r="F199" s="4" t="s">
        <v>1014</v>
      </c>
      <c r="G199" s="4" t="s">
        <v>999</v>
      </c>
      <c r="H199" s="4"/>
      <c r="I199" s="4"/>
      <c r="J199" s="6"/>
    </row>
    <row r="200" spans="1:10" ht="28.5">
      <c r="A200" s="4"/>
      <c r="B200" s="4"/>
      <c r="C200" s="4"/>
      <c r="D200" s="4" t="s">
        <v>996</v>
      </c>
      <c r="E200" s="4" t="s">
        <v>997</v>
      </c>
      <c r="F200" s="4" t="s">
        <v>998</v>
      </c>
      <c r="G200" s="4" t="s">
        <v>999</v>
      </c>
      <c r="H200" s="4"/>
      <c r="I200" s="4"/>
      <c r="J200" s="6"/>
    </row>
    <row r="201" spans="1:10" ht="28.5">
      <c r="A201" s="4"/>
      <c r="B201" s="4"/>
      <c r="C201" s="4"/>
      <c r="D201" s="4" t="s">
        <v>1000</v>
      </c>
      <c r="E201" s="4" t="s">
        <v>1001</v>
      </c>
      <c r="F201" s="4" t="s">
        <v>1002</v>
      </c>
      <c r="G201" s="4" t="s">
        <v>999</v>
      </c>
      <c r="H201" s="4"/>
      <c r="I201" s="4"/>
      <c r="J201" s="6"/>
    </row>
    <row r="202" spans="1:10" ht="28.5">
      <c r="A202" s="4"/>
      <c r="B202" s="4"/>
      <c r="C202" s="4"/>
      <c r="D202" s="4" t="s">
        <v>1003</v>
      </c>
      <c r="E202" s="4" t="s">
        <v>1004</v>
      </c>
      <c r="F202" s="4" t="s">
        <v>1005</v>
      </c>
      <c r="G202" s="4" t="s">
        <v>999</v>
      </c>
      <c r="H202" s="4"/>
      <c r="I202" s="4"/>
      <c r="J202" s="6"/>
    </row>
    <row r="203" spans="1:10" ht="28.5">
      <c r="A203" s="4"/>
      <c r="B203" s="4"/>
      <c r="C203" s="4"/>
      <c r="D203" s="4" t="s">
        <v>1006</v>
      </c>
      <c r="E203" s="4" t="s">
        <v>1007</v>
      </c>
      <c r="F203" s="4" t="s">
        <v>1008</v>
      </c>
      <c r="G203" s="4" t="s">
        <v>999</v>
      </c>
      <c r="H203" s="4"/>
      <c r="I203" s="4"/>
      <c r="J203" s="6"/>
    </row>
    <row r="204" spans="1:10">
      <c r="A204" s="4"/>
      <c r="B204" s="4"/>
      <c r="C204" s="4"/>
      <c r="D204" s="4" t="s">
        <v>1009</v>
      </c>
      <c r="E204" s="4" t="s">
        <v>1010</v>
      </c>
      <c r="F204" s="4" t="s">
        <v>1011</v>
      </c>
      <c r="G204" s="4" t="s">
        <v>999</v>
      </c>
      <c r="H204" s="4"/>
      <c r="I204" s="4"/>
      <c r="J204" s="6"/>
    </row>
    <row r="205" spans="1:10" ht="28.5">
      <c r="A205" s="4"/>
      <c r="B205" s="4"/>
      <c r="C205" s="4"/>
      <c r="D205" s="4" t="s">
        <v>1012</v>
      </c>
      <c r="E205" s="4" t="s">
        <v>1013</v>
      </c>
      <c r="F205" s="4" t="s">
        <v>1014</v>
      </c>
      <c r="G205" s="4" t="s">
        <v>999</v>
      </c>
      <c r="H205" s="4"/>
      <c r="I205" s="4"/>
      <c r="J205" s="6"/>
    </row>
    <row r="206" spans="1:10" ht="28.5">
      <c r="A206" s="4"/>
      <c r="B206" s="4"/>
      <c r="C206" s="4"/>
      <c r="D206" s="4" t="s">
        <v>996</v>
      </c>
      <c r="E206" s="4" t="s">
        <v>997</v>
      </c>
      <c r="F206" s="4" t="s">
        <v>998</v>
      </c>
      <c r="G206" s="4" t="s">
        <v>999</v>
      </c>
      <c r="H206" s="4"/>
      <c r="I206" s="4"/>
      <c r="J206" s="6"/>
    </row>
    <row r="207" spans="1:10" ht="28.5">
      <c r="A207" s="4"/>
      <c r="B207" s="4"/>
      <c r="C207" s="4"/>
      <c r="D207" s="4" t="s">
        <v>1000</v>
      </c>
      <c r="E207" s="4" t="s">
        <v>1001</v>
      </c>
      <c r="F207" s="4" t="s">
        <v>1002</v>
      </c>
      <c r="G207" s="4" t="s">
        <v>999</v>
      </c>
      <c r="H207" s="4"/>
      <c r="I207" s="4"/>
      <c r="J207" s="6"/>
    </row>
    <row r="208" spans="1:10" ht="28.5">
      <c r="A208" s="4"/>
      <c r="B208" s="4"/>
      <c r="C208" s="4"/>
      <c r="D208" s="4" t="s">
        <v>1003</v>
      </c>
      <c r="E208" s="4" t="s">
        <v>1004</v>
      </c>
      <c r="F208" s="4" t="s">
        <v>1005</v>
      </c>
      <c r="G208" s="4" t="s">
        <v>999</v>
      </c>
      <c r="H208" s="4"/>
      <c r="I208" s="4"/>
      <c r="J208" s="6"/>
    </row>
    <row r="209" spans="1:10" ht="28.5">
      <c r="A209" s="4"/>
      <c r="B209" s="4"/>
      <c r="C209" s="4"/>
      <c r="D209" s="4" t="s">
        <v>1006</v>
      </c>
      <c r="E209" s="4" t="s">
        <v>1007</v>
      </c>
      <c r="F209" s="4" t="s">
        <v>1008</v>
      </c>
      <c r="G209" s="4" t="s">
        <v>999</v>
      </c>
      <c r="H209" s="4"/>
      <c r="I209" s="4"/>
      <c r="J209" s="6"/>
    </row>
    <row r="210" spans="1:10">
      <c r="A210" s="4"/>
      <c r="B210" s="4"/>
      <c r="C210" s="4"/>
      <c r="D210" s="4" t="s">
        <v>1009</v>
      </c>
      <c r="E210" s="4" t="s">
        <v>1010</v>
      </c>
      <c r="F210" s="4" t="s">
        <v>1011</v>
      </c>
      <c r="G210" s="4" t="s">
        <v>999</v>
      </c>
      <c r="H210" s="4"/>
      <c r="I210" s="4"/>
      <c r="J210" s="6"/>
    </row>
    <row r="211" spans="1:10" ht="28.5">
      <c r="A211" s="4"/>
      <c r="B211" s="4"/>
      <c r="C211" s="4"/>
      <c r="D211" s="4" t="s">
        <v>1012</v>
      </c>
      <c r="E211" s="4" t="s">
        <v>1013</v>
      </c>
      <c r="F211" s="4" t="s">
        <v>1014</v>
      </c>
      <c r="G211" s="4" t="s">
        <v>999</v>
      </c>
      <c r="H211" s="4"/>
      <c r="I211" s="4"/>
      <c r="J211" s="6"/>
    </row>
    <row r="212" spans="1:10" ht="28.5">
      <c r="A212" s="4"/>
      <c r="B212" s="4"/>
      <c r="C212" s="4"/>
      <c r="D212" s="4" t="s">
        <v>996</v>
      </c>
      <c r="E212" s="4" t="s">
        <v>997</v>
      </c>
      <c r="F212" s="4" t="s">
        <v>998</v>
      </c>
      <c r="G212" s="4" t="s">
        <v>999</v>
      </c>
      <c r="H212" s="4"/>
      <c r="I212" s="4"/>
      <c r="J212" s="6"/>
    </row>
    <row r="213" spans="1:10" ht="28.5">
      <c r="A213" s="4"/>
      <c r="B213" s="4"/>
      <c r="C213" s="4"/>
      <c r="D213" s="4" t="s">
        <v>1000</v>
      </c>
      <c r="E213" s="4" t="s">
        <v>1001</v>
      </c>
      <c r="F213" s="4" t="s">
        <v>1002</v>
      </c>
      <c r="G213" s="4" t="s">
        <v>999</v>
      </c>
      <c r="H213" s="4"/>
      <c r="I213" s="4"/>
      <c r="J213" s="6"/>
    </row>
    <row r="214" spans="1:10" ht="28.5">
      <c r="A214" s="4"/>
      <c r="B214" s="4"/>
      <c r="C214" s="4"/>
      <c r="D214" s="4" t="s">
        <v>1003</v>
      </c>
      <c r="E214" s="4" t="s">
        <v>1004</v>
      </c>
      <c r="F214" s="4" t="s">
        <v>1005</v>
      </c>
      <c r="G214" s="4" t="s">
        <v>999</v>
      </c>
      <c r="H214" s="4"/>
      <c r="I214" s="4"/>
      <c r="J214" s="6"/>
    </row>
    <row r="215" spans="1:10" ht="28.5">
      <c r="A215" s="4"/>
      <c r="B215" s="4"/>
      <c r="C215" s="4"/>
      <c r="D215" s="4" t="s">
        <v>1006</v>
      </c>
      <c r="E215" s="4" t="s">
        <v>1007</v>
      </c>
      <c r="F215" s="4" t="s">
        <v>1008</v>
      </c>
      <c r="G215" s="4" t="s">
        <v>999</v>
      </c>
      <c r="H215" s="4"/>
      <c r="I215" s="4"/>
      <c r="J215" s="6"/>
    </row>
    <row r="216" spans="1:10">
      <c r="A216" s="4"/>
      <c r="B216" s="4"/>
      <c r="C216" s="4"/>
      <c r="D216" s="4" t="s">
        <v>1009</v>
      </c>
      <c r="E216" s="4" t="s">
        <v>1010</v>
      </c>
      <c r="F216" s="4" t="s">
        <v>1011</v>
      </c>
      <c r="G216" s="4" t="s">
        <v>999</v>
      </c>
      <c r="H216" s="4"/>
      <c r="I216" s="4"/>
      <c r="J216" s="6"/>
    </row>
    <row r="217" spans="1:10" ht="28.5">
      <c r="A217" s="4"/>
      <c r="B217" s="4"/>
      <c r="C217" s="4"/>
      <c r="D217" s="4" t="s">
        <v>1012</v>
      </c>
      <c r="E217" s="4" t="s">
        <v>1013</v>
      </c>
      <c r="F217" s="4" t="s">
        <v>1014</v>
      </c>
      <c r="G217" s="4" t="s">
        <v>999</v>
      </c>
      <c r="H217" s="4"/>
      <c r="I217" s="4"/>
      <c r="J217" s="6"/>
    </row>
    <row r="218" spans="1:10" ht="28.5">
      <c r="A218" s="4"/>
      <c r="B218" s="4"/>
      <c r="C218" s="4"/>
      <c r="D218" s="4" t="s">
        <v>996</v>
      </c>
      <c r="E218" s="4" t="s">
        <v>997</v>
      </c>
      <c r="F218" s="4" t="s">
        <v>998</v>
      </c>
      <c r="G218" s="4" t="s">
        <v>999</v>
      </c>
      <c r="H218" s="4"/>
      <c r="I218" s="4"/>
      <c r="J218" s="6"/>
    </row>
    <row r="219" spans="1:10" ht="28.5">
      <c r="A219" s="4"/>
      <c r="B219" s="4"/>
      <c r="C219" s="4"/>
      <c r="D219" s="4" t="s">
        <v>1000</v>
      </c>
      <c r="E219" s="4" t="s">
        <v>1001</v>
      </c>
      <c r="F219" s="4" t="s">
        <v>1002</v>
      </c>
      <c r="G219" s="4" t="s">
        <v>999</v>
      </c>
      <c r="H219" s="4"/>
      <c r="I219" s="4"/>
      <c r="J219" s="6"/>
    </row>
    <row r="220" spans="1:10" ht="28.5">
      <c r="A220" s="4"/>
      <c r="B220" s="4"/>
      <c r="C220" s="4"/>
      <c r="D220" s="4" t="s">
        <v>1003</v>
      </c>
      <c r="E220" s="4" t="s">
        <v>1004</v>
      </c>
      <c r="F220" s="4" t="s">
        <v>1005</v>
      </c>
      <c r="G220" s="4" t="s">
        <v>999</v>
      </c>
      <c r="H220" s="4"/>
      <c r="I220" s="4"/>
      <c r="J220" s="6"/>
    </row>
    <row r="221" spans="1:10" ht="28.5">
      <c r="A221" s="4"/>
      <c r="B221" s="4"/>
      <c r="C221" s="4"/>
      <c r="D221" s="4" t="s">
        <v>1006</v>
      </c>
      <c r="E221" s="4" t="s">
        <v>1007</v>
      </c>
      <c r="F221" s="4" t="s">
        <v>1008</v>
      </c>
      <c r="G221" s="4" t="s">
        <v>999</v>
      </c>
      <c r="H221" s="4"/>
      <c r="I221" s="4"/>
      <c r="J221" s="6"/>
    </row>
    <row r="222" spans="1:10">
      <c r="A222" s="4"/>
      <c r="B222" s="4"/>
      <c r="C222" s="4"/>
      <c r="D222" s="4" t="s">
        <v>1009</v>
      </c>
      <c r="E222" s="4" t="s">
        <v>1010</v>
      </c>
      <c r="F222" s="4" t="s">
        <v>1011</v>
      </c>
      <c r="G222" s="4" t="s">
        <v>999</v>
      </c>
      <c r="H222" s="4"/>
      <c r="I222" s="4"/>
      <c r="J222" s="6"/>
    </row>
    <row r="223" spans="1:10" ht="28.5">
      <c r="A223" s="4"/>
      <c r="B223" s="4"/>
      <c r="C223" s="4"/>
      <c r="D223" s="4" t="s">
        <v>1012</v>
      </c>
      <c r="E223" s="4" t="s">
        <v>1013</v>
      </c>
      <c r="F223" s="4" t="s">
        <v>1014</v>
      </c>
      <c r="G223" s="4" t="s">
        <v>999</v>
      </c>
      <c r="H223" s="4"/>
      <c r="I223" s="4"/>
      <c r="J223" s="6"/>
    </row>
    <row r="224" spans="1:10" ht="28.5">
      <c r="A224" s="4"/>
      <c r="B224" s="4"/>
      <c r="C224" s="4"/>
      <c r="D224" s="4" t="s">
        <v>996</v>
      </c>
      <c r="E224" s="4" t="s">
        <v>997</v>
      </c>
      <c r="F224" s="4" t="s">
        <v>998</v>
      </c>
      <c r="G224" s="4" t="s">
        <v>999</v>
      </c>
      <c r="H224" s="4"/>
      <c r="I224" s="4"/>
      <c r="J224" s="6"/>
    </row>
    <row r="225" spans="1:10" ht="28.5">
      <c r="A225" s="4"/>
      <c r="B225" s="4"/>
      <c r="C225" s="4"/>
      <c r="D225" s="4" t="s">
        <v>1000</v>
      </c>
      <c r="E225" s="4" t="s">
        <v>1001</v>
      </c>
      <c r="F225" s="4" t="s">
        <v>1002</v>
      </c>
      <c r="G225" s="4" t="s">
        <v>999</v>
      </c>
      <c r="H225" s="4"/>
      <c r="I225" s="4"/>
      <c r="J225" s="6"/>
    </row>
    <row r="226" spans="1:10" ht="28.5">
      <c r="A226" s="4"/>
      <c r="B226" s="4"/>
      <c r="C226" s="4"/>
      <c r="D226" s="4" t="s">
        <v>1003</v>
      </c>
      <c r="E226" s="4" t="s">
        <v>1004</v>
      </c>
      <c r="F226" s="4" t="s">
        <v>1005</v>
      </c>
      <c r="G226" s="4" t="s">
        <v>999</v>
      </c>
      <c r="H226" s="4"/>
      <c r="I226" s="4"/>
      <c r="J226" s="6"/>
    </row>
    <row r="227" spans="1:10" ht="28.5">
      <c r="A227" s="4"/>
      <c r="B227" s="4"/>
      <c r="C227" s="4"/>
      <c r="D227" s="4" t="s">
        <v>1006</v>
      </c>
      <c r="E227" s="4" t="s">
        <v>1007</v>
      </c>
      <c r="F227" s="4" t="s">
        <v>1008</v>
      </c>
      <c r="G227" s="4" t="s">
        <v>999</v>
      </c>
      <c r="H227" s="4"/>
      <c r="I227" s="4"/>
      <c r="J227" s="6"/>
    </row>
    <row r="228" spans="1:10">
      <c r="A228" s="4"/>
      <c r="B228" s="4"/>
      <c r="C228" s="4"/>
      <c r="D228" s="4" t="s">
        <v>1009</v>
      </c>
      <c r="E228" s="4" t="s">
        <v>1010</v>
      </c>
      <c r="F228" s="4" t="s">
        <v>1011</v>
      </c>
      <c r="G228" s="4" t="s">
        <v>999</v>
      </c>
      <c r="H228" s="4"/>
      <c r="I228" s="4"/>
      <c r="J228" s="6"/>
    </row>
    <row r="229" spans="1:10" ht="28.5">
      <c r="A229" s="4"/>
      <c r="B229" s="4"/>
      <c r="C229" s="4"/>
      <c r="D229" s="4" t="s">
        <v>1012</v>
      </c>
      <c r="E229" s="4" t="s">
        <v>1013</v>
      </c>
      <c r="F229" s="4" t="s">
        <v>1014</v>
      </c>
      <c r="G229" s="4" t="s">
        <v>999</v>
      </c>
      <c r="H229" s="4"/>
      <c r="I229" s="4"/>
      <c r="J229" s="6"/>
    </row>
    <row r="230" spans="1:10" ht="28.5">
      <c r="A230" s="4"/>
      <c r="B230" s="4"/>
      <c r="C230" s="4"/>
      <c r="D230" s="4" t="s">
        <v>996</v>
      </c>
      <c r="E230" s="4" t="s">
        <v>997</v>
      </c>
      <c r="F230" s="4" t="s">
        <v>998</v>
      </c>
      <c r="G230" s="4" t="s">
        <v>999</v>
      </c>
      <c r="H230" s="4"/>
      <c r="I230" s="4"/>
      <c r="J230" s="6"/>
    </row>
    <row r="231" spans="1:10" ht="28.5">
      <c r="A231" s="4"/>
      <c r="B231" s="4"/>
      <c r="C231" s="4"/>
      <c r="D231" s="4" t="s">
        <v>1000</v>
      </c>
      <c r="E231" s="4" t="s">
        <v>1001</v>
      </c>
      <c r="F231" s="4" t="s">
        <v>1002</v>
      </c>
      <c r="G231" s="4" t="s">
        <v>999</v>
      </c>
      <c r="H231" s="4"/>
      <c r="I231" s="4"/>
      <c r="J231" s="6"/>
    </row>
    <row r="232" spans="1:10" ht="28.5">
      <c r="A232" s="4"/>
      <c r="B232" s="4"/>
      <c r="C232" s="4"/>
      <c r="D232" s="4" t="s">
        <v>1003</v>
      </c>
      <c r="E232" s="4" t="s">
        <v>1004</v>
      </c>
      <c r="F232" s="4" t="s">
        <v>1005</v>
      </c>
      <c r="G232" s="4" t="s">
        <v>999</v>
      </c>
      <c r="H232" s="4"/>
      <c r="I232" s="4"/>
      <c r="J232" s="6"/>
    </row>
    <row r="233" spans="1:10" ht="28.5">
      <c r="A233" s="4"/>
      <c r="B233" s="4"/>
      <c r="C233" s="4"/>
      <c r="D233" s="4" t="s">
        <v>1006</v>
      </c>
      <c r="E233" s="4" t="s">
        <v>1007</v>
      </c>
      <c r="F233" s="4" t="s">
        <v>1008</v>
      </c>
      <c r="G233" s="4" t="s">
        <v>999</v>
      </c>
      <c r="H233" s="4"/>
      <c r="I233" s="4"/>
      <c r="J233" s="6"/>
    </row>
    <row r="234" spans="1:10">
      <c r="A234" s="4"/>
      <c r="B234" s="4"/>
      <c r="C234" s="4"/>
      <c r="D234" s="4" t="s">
        <v>1009</v>
      </c>
      <c r="E234" s="4" t="s">
        <v>1010</v>
      </c>
      <c r="F234" s="4" t="s">
        <v>1011</v>
      </c>
      <c r="G234" s="4" t="s">
        <v>999</v>
      </c>
      <c r="H234" s="4"/>
      <c r="I234" s="4"/>
      <c r="J234" s="6"/>
    </row>
    <row r="235" spans="1:10" ht="28.5">
      <c r="A235" s="4"/>
      <c r="B235" s="4"/>
      <c r="C235" s="4"/>
      <c r="D235" s="4" t="s">
        <v>1012</v>
      </c>
      <c r="E235" s="4" t="s">
        <v>1013</v>
      </c>
      <c r="F235" s="4" t="s">
        <v>1014</v>
      </c>
      <c r="G235" s="4" t="s">
        <v>999</v>
      </c>
      <c r="H235" s="4"/>
      <c r="I235" s="4"/>
      <c r="J235" s="6"/>
    </row>
    <row r="236" spans="1:10" ht="28.5">
      <c r="A236" s="4"/>
      <c r="B236" s="4"/>
      <c r="C236" s="4"/>
      <c r="D236" s="4" t="s">
        <v>996</v>
      </c>
      <c r="E236" s="4" t="s">
        <v>997</v>
      </c>
      <c r="F236" s="4" t="s">
        <v>998</v>
      </c>
      <c r="G236" s="4" t="s">
        <v>999</v>
      </c>
      <c r="H236" s="4"/>
      <c r="I236" s="4"/>
      <c r="J236" s="6"/>
    </row>
    <row r="237" spans="1:10" ht="28.5">
      <c r="A237" s="4"/>
      <c r="B237" s="4"/>
      <c r="C237" s="4"/>
      <c r="D237" s="4" t="s">
        <v>1000</v>
      </c>
      <c r="E237" s="4" t="s">
        <v>1001</v>
      </c>
      <c r="F237" s="4" t="s">
        <v>1002</v>
      </c>
      <c r="G237" s="4" t="s">
        <v>999</v>
      </c>
      <c r="H237" s="4"/>
      <c r="I237" s="4"/>
      <c r="J237" s="6"/>
    </row>
    <row r="238" spans="1:10" ht="28.5">
      <c r="A238" s="4"/>
      <c r="B238" s="4"/>
      <c r="C238" s="4"/>
      <c r="D238" s="4" t="s">
        <v>1003</v>
      </c>
      <c r="E238" s="4" t="s">
        <v>1004</v>
      </c>
      <c r="F238" s="4" t="s">
        <v>1005</v>
      </c>
      <c r="G238" s="4" t="s">
        <v>999</v>
      </c>
      <c r="H238" s="4"/>
      <c r="I238" s="4"/>
      <c r="J238" s="6"/>
    </row>
    <row r="239" spans="1:10" ht="28.5">
      <c r="A239" s="4"/>
      <c r="B239" s="4"/>
      <c r="C239" s="4"/>
      <c r="D239" s="4" t="s">
        <v>1006</v>
      </c>
      <c r="E239" s="4" t="s">
        <v>1007</v>
      </c>
      <c r="F239" s="4" t="s">
        <v>1008</v>
      </c>
      <c r="G239" s="4" t="s">
        <v>999</v>
      </c>
      <c r="H239" s="4"/>
      <c r="I239" s="4"/>
      <c r="J239" s="6"/>
    </row>
    <row r="240" spans="1:10">
      <c r="A240" s="4"/>
      <c r="B240" s="4"/>
      <c r="C240" s="4"/>
      <c r="D240" s="4" t="s">
        <v>1009</v>
      </c>
      <c r="E240" s="4" t="s">
        <v>1010</v>
      </c>
      <c r="F240" s="4" t="s">
        <v>1011</v>
      </c>
      <c r="G240" s="4" t="s">
        <v>999</v>
      </c>
      <c r="H240" s="4"/>
      <c r="I240" s="4"/>
      <c r="J240" s="6"/>
    </row>
    <row r="241" spans="1:10" ht="28.5">
      <c r="A241" s="4"/>
      <c r="B241" s="4"/>
      <c r="C241" s="4"/>
      <c r="D241" s="4" t="s">
        <v>1012</v>
      </c>
      <c r="E241" s="4" t="s">
        <v>1013</v>
      </c>
      <c r="F241" s="4" t="s">
        <v>1014</v>
      </c>
      <c r="G241" s="4" t="s">
        <v>999</v>
      </c>
      <c r="H241" s="4"/>
      <c r="I241" s="4"/>
      <c r="J241" s="6"/>
    </row>
    <row r="242" spans="1:10" ht="28.5">
      <c r="A242" s="4"/>
      <c r="B242" s="4"/>
      <c r="C242" s="4"/>
      <c r="D242" s="4" t="s">
        <v>996</v>
      </c>
      <c r="E242" s="4" t="s">
        <v>997</v>
      </c>
      <c r="F242" s="4" t="s">
        <v>998</v>
      </c>
      <c r="G242" s="4" t="s">
        <v>999</v>
      </c>
      <c r="H242" s="4"/>
      <c r="I242" s="4"/>
      <c r="J242" s="6"/>
    </row>
    <row r="243" spans="1:10" ht="28.5">
      <c r="A243" s="4"/>
      <c r="B243" s="4"/>
      <c r="C243" s="4"/>
      <c r="D243" s="4" t="s">
        <v>1000</v>
      </c>
      <c r="E243" s="4" t="s">
        <v>1001</v>
      </c>
      <c r="F243" s="4" t="s">
        <v>1002</v>
      </c>
      <c r="G243" s="4" t="s">
        <v>999</v>
      </c>
      <c r="H243" s="4"/>
      <c r="I243" s="4"/>
      <c r="J243" s="6"/>
    </row>
    <row r="244" spans="1:10" ht="28.5">
      <c r="A244" s="4"/>
      <c r="B244" s="4"/>
      <c r="C244" s="4"/>
      <c r="D244" s="4" t="s">
        <v>1003</v>
      </c>
      <c r="E244" s="4" t="s">
        <v>1004</v>
      </c>
      <c r="F244" s="4" t="s">
        <v>1005</v>
      </c>
      <c r="G244" s="4" t="s">
        <v>999</v>
      </c>
      <c r="H244" s="4"/>
      <c r="I244" s="4"/>
      <c r="J244" s="6"/>
    </row>
    <row r="245" spans="1:10" ht="28.5">
      <c r="A245" s="4"/>
      <c r="B245" s="4"/>
      <c r="C245" s="4"/>
      <c r="D245" s="4" t="s">
        <v>1006</v>
      </c>
      <c r="E245" s="4" t="s">
        <v>1007</v>
      </c>
      <c r="F245" s="4" t="s">
        <v>1008</v>
      </c>
      <c r="G245" s="4" t="s">
        <v>999</v>
      </c>
      <c r="H245" s="4"/>
      <c r="I245" s="4"/>
      <c r="J245" s="6"/>
    </row>
    <row r="246" spans="1:10">
      <c r="A246" s="4"/>
      <c r="B246" s="4"/>
      <c r="C246" s="4"/>
      <c r="D246" s="4" t="s">
        <v>1009</v>
      </c>
      <c r="E246" s="4" t="s">
        <v>1010</v>
      </c>
      <c r="F246" s="4" t="s">
        <v>1011</v>
      </c>
      <c r="G246" s="4" t="s">
        <v>999</v>
      </c>
      <c r="H246" s="4"/>
      <c r="I246" s="4"/>
      <c r="J246" s="6"/>
    </row>
    <row r="247" spans="1:10" ht="28.5">
      <c r="A247" s="4"/>
      <c r="B247" s="4"/>
      <c r="C247" s="4"/>
      <c r="D247" s="4" t="s">
        <v>1012</v>
      </c>
      <c r="E247" s="4" t="s">
        <v>1013</v>
      </c>
      <c r="F247" s="4" t="s">
        <v>1014</v>
      </c>
      <c r="G247" s="4" t="s">
        <v>999</v>
      </c>
      <c r="H247" s="4"/>
      <c r="I247" s="4"/>
      <c r="J247" s="6"/>
    </row>
    <row r="248" spans="1:10" ht="28.5">
      <c r="A248" s="4"/>
      <c r="B248" s="4"/>
      <c r="C248" s="4"/>
      <c r="D248" s="4" t="s">
        <v>996</v>
      </c>
      <c r="E248" s="4" t="s">
        <v>997</v>
      </c>
      <c r="F248" s="4" t="s">
        <v>998</v>
      </c>
      <c r="G248" s="4" t="s">
        <v>999</v>
      </c>
      <c r="H248" s="4"/>
      <c r="I248" s="4"/>
      <c r="J248" s="6"/>
    </row>
    <row r="249" spans="1:10" ht="28.5">
      <c r="A249" s="4"/>
      <c r="B249" s="4"/>
      <c r="C249" s="4"/>
      <c r="D249" s="4" t="s">
        <v>1000</v>
      </c>
      <c r="E249" s="4" t="s">
        <v>1001</v>
      </c>
      <c r="F249" s="4" t="s">
        <v>1002</v>
      </c>
      <c r="G249" s="4" t="s">
        <v>999</v>
      </c>
      <c r="H249" s="4"/>
      <c r="I249" s="4"/>
      <c r="J249" s="6"/>
    </row>
    <row r="250" spans="1:10" ht="28.5">
      <c r="A250" s="4"/>
      <c r="B250" s="4"/>
      <c r="C250" s="4"/>
      <c r="D250" s="4" t="s">
        <v>1003</v>
      </c>
      <c r="E250" s="4" t="s">
        <v>1004</v>
      </c>
      <c r="F250" s="4" t="s">
        <v>1005</v>
      </c>
      <c r="G250" s="4" t="s">
        <v>999</v>
      </c>
      <c r="H250" s="4"/>
      <c r="I250" s="4"/>
      <c r="J250" s="6"/>
    </row>
    <row r="251" spans="1:10" ht="28.5">
      <c r="A251" s="4"/>
      <c r="B251" s="4"/>
      <c r="C251" s="4"/>
      <c r="D251" s="4" t="s">
        <v>1006</v>
      </c>
      <c r="E251" s="4" t="s">
        <v>1007</v>
      </c>
      <c r="F251" s="4" t="s">
        <v>1008</v>
      </c>
      <c r="G251" s="4" t="s">
        <v>999</v>
      </c>
      <c r="H251" s="4"/>
      <c r="I251" s="4"/>
      <c r="J251" s="6"/>
    </row>
    <row r="252" spans="1:10">
      <c r="A252" s="4"/>
      <c r="B252" s="4"/>
      <c r="C252" s="4"/>
      <c r="D252" s="4" t="s">
        <v>1009</v>
      </c>
      <c r="E252" s="4" t="s">
        <v>1010</v>
      </c>
      <c r="F252" s="4" t="s">
        <v>1011</v>
      </c>
      <c r="G252" s="4" t="s">
        <v>999</v>
      </c>
      <c r="H252" s="4"/>
      <c r="I252" s="4"/>
      <c r="J252" s="6"/>
    </row>
    <row r="253" spans="1:10" ht="28.5">
      <c r="A253" s="4"/>
      <c r="B253" s="4"/>
      <c r="C253" s="4"/>
      <c r="D253" s="4" t="s">
        <v>1012</v>
      </c>
      <c r="E253" s="4" t="s">
        <v>1013</v>
      </c>
      <c r="F253" s="4" t="s">
        <v>1014</v>
      </c>
      <c r="G253" s="4" t="s">
        <v>999</v>
      </c>
      <c r="H253" s="4"/>
      <c r="I253" s="4"/>
      <c r="J253" s="6"/>
    </row>
    <row r="254" spans="1:10" ht="28.5">
      <c r="A254" s="4"/>
      <c r="B254" s="4"/>
      <c r="C254" s="4"/>
      <c r="D254" s="4" t="s">
        <v>996</v>
      </c>
      <c r="E254" s="4" t="s">
        <v>997</v>
      </c>
      <c r="F254" s="4" t="s">
        <v>998</v>
      </c>
      <c r="G254" s="4" t="s">
        <v>999</v>
      </c>
      <c r="H254" s="4"/>
      <c r="I254" s="4"/>
      <c r="J254" s="6"/>
    </row>
    <row r="255" spans="1:10" ht="28.5">
      <c r="A255" s="4"/>
      <c r="B255" s="4"/>
      <c r="C255" s="4"/>
      <c r="D255" s="4" t="s">
        <v>1000</v>
      </c>
      <c r="E255" s="4" t="s">
        <v>1001</v>
      </c>
      <c r="F255" s="4" t="s">
        <v>1002</v>
      </c>
      <c r="G255" s="4" t="s">
        <v>999</v>
      </c>
      <c r="H255" s="4"/>
      <c r="I255" s="4"/>
      <c r="J255" s="6"/>
    </row>
    <row r="256" spans="1:10" ht="28.5">
      <c r="A256" s="4"/>
      <c r="B256" s="4"/>
      <c r="C256" s="4"/>
      <c r="D256" s="4" t="s">
        <v>1003</v>
      </c>
      <c r="E256" s="4" t="s">
        <v>1004</v>
      </c>
      <c r="F256" s="4" t="s">
        <v>1005</v>
      </c>
      <c r="G256" s="4" t="s">
        <v>999</v>
      </c>
      <c r="H256" s="4"/>
      <c r="I256" s="4"/>
      <c r="J256" s="6"/>
    </row>
    <row r="257" spans="1:10" ht="28.5">
      <c r="A257" s="4"/>
      <c r="B257" s="4"/>
      <c r="C257" s="4"/>
      <c r="D257" s="4" t="s">
        <v>1006</v>
      </c>
      <c r="E257" s="4" t="s">
        <v>1007</v>
      </c>
      <c r="F257" s="4" t="s">
        <v>1008</v>
      </c>
      <c r="G257" s="4" t="s">
        <v>999</v>
      </c>
      <c r="H257" s="4"/>
      <c r="I257" s="4"/>
      <c r="J257" s="6"/>
    </row>
    <row r="258" spans="1:10">
      <c r="A258" s="4"/>
      <c r="B258" s="4"/>
      <c r="C258" s="4"/>
      <c r="D258" s="4" t="s">
        <v>1009</v>
      </c>
      <c r="E258" s="4" t="s">
        <v>1010</v>
      </c>
      <c r="F258" s="4" t="s">
        <v>1011</v>
      </c>
      <c r="G258" s="4" t="s">
        <v>999</v>
      </c>
      <c r="H258" s="4"/>
      <c r="I258" s="4"/>
      <c r="J258" s="6"/>
    </row>
    <row r="259" spans="1:10" ht="28.5">
      <c r="A259" s="4"/>
      <c r="B259" s="4"/>
      <c r="C259" s="4"/>
      <c r="D259" s="4" t="s">
        <v>1012</v>
      </c>
      <c r="E259" s="4" t="s">
        <v>1013</v>
      </c>
      <c r="F259" s="4" t="s">
        <v>1014</v>
      </c>
      <c r="G259" s="4" t="s">
        <v>999</v>
      </c>
      <c r="H259" s="4"/>
      <c r="I259" s="4"/>
      <c r="J259" s="6"/>
    </row>
    <row r="260" spans="1:10" ht="28.5">
      <c r="A260" s="4"/>
      <c r="B260" s="4"/>
      <c r="C260" s="4"/>
      <c r="D260" s="4" t="s">
        <v>996</v>
      </c>
      <c r="E260" s="4" t="s">
        <v>997</v>
      </c>
      <c r="F260" s="4" t="s">
        <v>998</v>
      </c>
      <c r="G260" s="4" t="s">
        <v>999</v>
      </c>
      <c r="H260" s="4"/>
      <c r="I260" s="4"/>
      <c r="J260" s="6"/>
    </row>
    <row r="261" spans="1:10" ht="28.5">
      <c r="A261" s="4"/>
      <c r="B261" s="4"/>
      <c r="C261" s="4"/>
      <c r="D261" s="4" t="s">
        <v>1000</v>
      </c>
      <c r="E261" s="4" t="s">
        <v>1001</v>
      </c>
      <c r="F261" s="4" t="s">
        <v>1002</v>
      </c>
      <c r="G261" s="4" t="s">
        <v>999</v>
      </c>
      <c r="H261" s="4"/>
      <c r="I261" s="4"/>
      <c r="J261" s="6"/>
    </row>
    <row r="262" spans="1:10" ht="28.5">
      <c r="A262" s="4"/>
      <c r="B262" s="4"/>
      <c r="C262" s="4"/>
      <c r="D262" s="4" t="s">
        <v>1003</v>
      </c>
      <c r="E262" s="4" t="s">
        <v>1004</v>
      </c>
      <c r="F262" s="4" t="s">
        <v>1005</v>
      </c>
      <c r="G262" s="4" t="s">
        <v>999</v>
      </c>
      <c r="H262" s="4"/>
      <c r="I262" s="4"/>
      <c r="J262" s="6"/>
    </row>
    <row r="263" spans="1:10" ht="28.5">
      <c r="A263" s="4"/>
      <c r="B263" s="4"/>
      <c r="C263" s="4"/>
      <c r="D263" s="4" t="s">
        <v>1006</v>
      </c>
      <c r="E263" s="4" t="s">
        <v>1007</v>
      </c>
      <c r="F263" s="4" t="s">
        <v>1008</v>
      </c>
      <c r="G263" s="4" t="s">
        <v>999</v>
      </c>
      <c r="H263" s="4"/>
      <c r="I263" s="4"/>
      <c r="J263" s="6"/>
    </row>
    <row r="264" spans="1:10">
      <c r="A264" s="4"/>
      <c r="B264" s="4"/>
      <c r="C264" s="4"/>
      <c r="D264" s="4" t="s">
        <v>1009</v>
      </c>
      <c r="E264" s="4" t="s">
        <v>1010</v>
      </c>
      <c r="F264" s="4" t="s">
        <v>1011</v>
      </c>
      <c r="G264" s="4" t="s">
        <v>999</v>
      </c>
      <c r="H264" s="4"/>
      <c r="I264" s="4"/>
      <c r="J264" s="6"/>
    </row>
    <row r="265" spans="1:10" ht="28.5">
      <c r="A265" s="4"/>
      <c r="B265" s="4"/>
      <c r="C265" s="4"/>
      <c r="D265" s="4" t="s">
        <v>1012</v>
      </c>
      <c r="E265" s="4" t="s">
        <v>1013</v>
      </c>
      <c r="F265" s="4" t="s">
        <v>1014</v>
      </c>
      <c r="G265" s="4" t="s">
        <v>999</v>
      </c>
      <c r="H265" s="4"/>
      <c r="I265" s="4"/>
      <c r="J265" s="6"/>
    </row>
    <row r="266" spans="1:10" ht="28.5">
      <c r="A266" s="4"/>
      <c r="B266" s="4"/>
      <c r="C266" s="4"/>
      <c r="D266" s="4" t="s">
        <v>996</v>
      </c>
      <c r="E266" s="4" t="s">
        <v>997</v>
      </c>
      <c r="F266" s="4" t="s">
        <v>998</v>
      </c>
      <c r="G266" s="4" t="s">
        <v>999</v>
      </c>
      <c r="H266" s="4"/>
      <c r="I266" s="4"/>
      <c r="J266" s="6"/>
    </row>
    <row r="267" spans="1:10" ht="28.5">
      <c r="A267" s="4"/>
      <c r="B267" s="4"/>
      <c r="C267" s="4"/>
      <c r="D267" s="4" t="s">
        <v>1000</v>
      </c>
      <c r="E267" s="4" t="s">
        <v>1001</v>
      </c>
      <c r="F267" s="4" t="s">
        <v>1002</v>
      </c>
      <c r="G267" s="4" t="s">
        <v>999</v>
      </c>
      <c r="H267" s="4"/>
      <c r="I267" s="4"/>
      <c r="J267" s="6"/>
    </row>
    <row r="268" spans="1:10" ht="28.5">
      <c r="A268" s="4"/>
      <c r="B268" s="4"/>
      <c r="C268" s="4"/>
      <c r="D268" s="4" t="s">
        <v>1003</v>
      </c>
      <c r="E268" s="4" t="s">
        <v>1004</v>
      </c>
      <c r="F268" s="4" t="s">
        <v>1005</v>
      </c>
      <c r="G268" s="4" t="s">
        <v>999</v>
      </c>
      <c r="H268" s="4"/>
      <c r="I268" s="4"/>
      <c r="J268" s="6"/>
    </row>
    <row r="269" spans="1:10" ht="28.5">
      <c r="A269" s="4"/>
      <c r="B269" s="4"/>
      <c r="C269" s="4"/>
      <c r="D269" s="4" t="s">
        <v>1006</v>
      </c>
      <c r="E269" s="4" t="s">
        <v>1007</v>
      </c>
      <c r="F269" s="4" t="s">
        <v>1008</v>
      </c>
      <c r="G269" s="4" t="s">
        <v>999</v>
      </c>
      <c r="H269" s="4"/>
      <c r="I269" s="4"/>
      <c r="J269" s="6"/>
    </row>
    <row r="270" spans="1:10">
      <c r="A270" s="4"/>
      <c r="B270" s="4"/>
      <c r="C270" s="4"/>
      <c r="D270" s="4" t="s">
        <v>1009</v>
      </c>
      <c r="E270" s="4" t="s">
        <v>1010</v>
      </c>
      <c r="F270" s="4" t="s">
        <v>1011</v>
      </c>
      <c r="G270" s="4" t="s">
        <v>999</v>
      </c>
      <c r="H270" s="4"/>
      <c r="I270" s="4"/>
      <c r="J270" s="6"/>
    </row>
    <row r="271" spans="1:10" ht="28.5">
      <c r="A271" s="4"/>
      <c r="B271" s="4"/>
      <c r="C271" s="4"/>
      <c r="D271" s="4" t="s">
        <v>1012</v>
      </c>
      <c r="E271" s="4" t="s">
        <v>1013</v>
      </c>
      <c r="F271" s="4" t="s">
        <v>1014</v>
      </c>
      <c r="G271" s="4" t="s">
        <v>999</v>
      </c>
      <c r="H271" s="4"/>
      <c r="I271" s="4"/>
      <c r="J271" s="6"/>
    </row>
    <row r="272" spans="1:10" ht="28.5">
      <c r="A272" s="4"/>
      <c r="B272" s="4"/>
      <c r="C272" s="4"/>
      <c r="D272" s="4" t="s">
        <v>996</v>
      </c>
      <c r="E272" s="4" t="s">
        <v>997</v>
      </c>
      <c r="F272" s="4" t="s">
        <v>998</v>
      </c>
      <c r="G272" s="4" t="s">
        <v>999</v>
      </c>
      <c r="H272" s="4"/>
      <c r="I272" s="4"/>
      <c r="J272" s="6"/>
    </row>
    <row r="273" spans="1:10" ht="28.5">
      <c r="A273" s="4"/>
      <c r="B273" s="4"/>
      <c r="C273" s="4"/>
      <c r="D273" s="4" t="s">
        <v>1000</v>
      </c>
      <c r="E273" s="4" t="s">
        <v>1001</v>
      </c>
      <c r="F273" s="4" t="s">
        <v>1002</v>
      </c>
      <c r="G273" s="4" t="s">
        <v>999</v>
      </c>
      <c r="H273" s="4"/>
      <c r="I273" s="4"/>
      <c r="J273" s="6"/>
    </row>
    <row r="274" spans="1:10" ht="28.5">
      <c r="A274" s="4"/>
      <c r="B274" s="4"/>
      <c r="C274" s="4"/>
      <c r="D274" s="4" t="s">
        <v>1003</v>
      </c>
      <c r="E274" s="4" t="s">
        <v>1004</v>
      </c>
      <c r="F274" s="4" t="s">
        <v>1005</v>
      </c>
      <c r="G274" s="4" t="s">
        <v>999</v>
      </c>
      <c r="H274" s="4"/>
      <c r="I274" s="4"/>
      <c r="J274" s="6"/>
    </row>
    <row r="275" spans="1:10" ht="28.5">
      <c r="A275" s="4"/>
      <c r="B275" s="4"/>
      <c r="C275" s="4"/>
      <c r="D275" s="4" t="s">
        <v>1006</v>
      </c>
      <c r="E275" s="4" t="s">
        <v>1007</v>
      </c>
      <c r="F275" s="4" t="s">
        <v>1008</v>
      </c>
      <c r="G275" s="4" t="s">
        <v>999</v>
      </c>
      <c r="H275" s="4"/>
      <c r="I275" s="4"/>
      <c r="J275" s="6"/>
    </row>
    <row r="276" spans="1:10">
      <c r="A276" s="4"/>
      <c r="B276" s="4"/>
      <c r="C276" s="4"/>
      <c r="D276" s="4" t="s">
        <v>1009</v>
      </c>
      <c r="E276" s="4" t="s">
        <v>1010</v>
      </c>
      <c r="F276" s="4" t="s">
        <v>1011</v>
      </c>
      <c r="G276" s="4" t="s">
        <v>999</v>
      </c>
      <c r="H276" s="4"/>
      <c r="I276" s="4"/>
      <c r="J276" s="6"/>
    </row>
    <row r="277" spans="1:10" ht="28.5">
      <c r="A277" s="4"/>
      <c r="B277" s="4"/>
      <c r="C277" s="4"/>
      <c r="D277" s="4" t="s">
        <v>1012</v>
      </c>
      <c r="E277" s="4" t="s">
        <v>1013</v>
      </c>
      <c r="F277" s="4" t="s">
        <v>1014</v>
      </c>
      <c r="G277" s="4" t="s">
        <v>999</v>
      </c>
      <c r="H277" s="4"/>
      <c r="I277" s="4"/>
      <c r="J277" s="6"/>
    </row>
    <row r="278" spans="1:10" ht="28.5">
      <c r="A278" s="4"/>
      <c r="B278" s="4"/>
      <c r="C278" s="4"/>
      <c r="D278" s="4" t="s">
        <v>996</v>
      </c>
      <c r="E278" s="4" t="s">
        <v>997</v>
      </c>
      <c r="F278" s="4" t="s">
        <v>998</v>
      </c>
      <c r="G278" s="4" t="s">
        <v>999</v>
      </c>
      <c r="H278" s="4"/>
      <c r="I278" s="4"/>
      <c r="J278" s="6"/>
    </row>
    <row r="279" spans="1:10" ht="28.5">
      <c r="A279" s="4"/>
      <c r="B279" s="4"/>
      <c r="C279" s="4"/>
      <c r="D279" s="4" t="s">
        <v>1000</v>
      </c>
      <c r="E279" s="4" t="s">
        <v>1001</v>
      </c>
      <c r="F279" s="4" t="s">
        <v>1002</v>
      </c>
      <c r="G279" s="4" t="s">
        <v>999</v>
      </c>
      <c r="H279" s="4"/>
      <c r="I279" s="4"/>
      <c r="J279" s="6"/>
    </row>
    <row r="280" spans="1:10" ht="28.5">
      <c r="A280" s="4"/>
      <c r="B280" s="4"/>
      <c r="C280" s="4"/>
      <c r="D280" s="4" t="s">
        <v>1003</v>
      </c>
      <c r="E280" s="4" t="s">
        <v>1004</v>
      </c>
      <c r="F280" s="4" t="s">
        <v>1005</v>
      </c>
      <c r="G280" s="4" t="s">
        <v>999</v>
      </c>
      <c r="H280" s="4"/>
      <c r="I280" s="4"/>
      <c r="J280" s="6"/>
    </row>
    <row r="281" spans="1:10" ht="28.5">
      <c r="A281" s="4"/>
      <c r="B281" s="4"/>
      <c r="C281" s="4"/>
      <c r="D281" s="4" t="s">
        <v>1006</v>
      </c>
      <c r="E281" s="4" t="s">
        <v>1007</v>
      </c>
      <c r="F281" s="4" t="s">
        <v>1008</v>
      </c>
      <c r="G281" s="4" t="s">
        <v>999</v>
      </c>
      <c r="H281" s="4"/>
      <c r="I281" s="4"/>
      <c r="J281" s="6"/>
    </row>
    <row r="282" spans="1:10">
      <c r="A282" s="4"/>
      <c r="B282" s="4"/>
      <c r="C282" s="4"/>
      <c r="D282" s="4" t="s">
        <v>1009</v>
      </c>
      <c r="E282" s="4" t="s">
        <v>1010</v>
      </c>
      <c r="F282" s="4" t="s">
        <v>1011</v>
      </c>
      <c r="G282" s="4" t="s">
        <v>999</v>
      </c>
      <c r="H282" s="4"/>
      <c r="I282" s="4"/>
      <c r="J282" s="6"/>
    </row>
    <row r="283" spans="1:10" ht="28.5">
      <c r="A283" s="4"/>
      <c r="B283" s="4"/>
      <c r="C283" s="4"/>
      <c r="D283" s="4" t="s">
        <v>1012</v>
      </c>
      <c r="E283" s="4" t="s">
        <v>1013</v>
      </c>
      <c r="F283" s="4" t="s">
        <v>1014</v>
      </c>
      <c r="G283" s="4" t="s">
        <v>999</v>
      </c>
      <c r="H283" s="4"/>
      <c r="I283" s="4"/>
      <c r="J283" s="6"/>
    </row>
    <row r="284" spans="1:10" ht="28.5">
      <c r="A284" s="4"/>
      <c r="B284" s="4"/>
      <c r="C284" s="4"/>
      <c r="D284" s="4" t="s">
        <v>996</v>
      </c>
      <c r="E284" s="4" t="s">
        <v>997</v>
      </c>
      <c r="F284" s="4" t="s">
        <v>998</v>
      </c>
      <c r="G284" s="4" t="s">
        <v>999</v>
      </c>
      <c r="H284" s="4"/>
      <c r="I284" s="4"/>
      <c r="J284" s="6"/>
    </row>
    <row r="285" spans="1:10" ht="28.5">
      <c r="A285" s="4"/>
      <c r="B285" s="4"/>
      <c r="C285" s="4"/>
      <c r="D285" s="4" t="s">
        <v>1000</v>
      </c>
      <c r="E285" s="4" t="s">
        <v>1001</v>
      </c>
      <c r="F285" s="4" t="s">
        <v>1002</v>
      </c>
      <c r="G285" s="4" t="s">
        <v>999</v>
      </c>
      <c r="H285" s="4"/>
      <c r="I285" s="4"/>
      <c r="J285" s="6"/>
    </row>
    <row r="286" spans="1:10" ht="28.5">
      <c r="A286" s="4"/>
      <c r="B286" s="4"/>
      <c r="C286" s="4"/>
      <c r="D286" s="4" t="s">
        <v>1003</v>
      </c>
      <c r="E286" s="4" t="s">
        <v>1004</v>
      </c>
      <c r="F286" s="4" t="s">
        <v>1005</v>
      </c>
      <c r="G286" s="4" t="s">
        <v>999</v>
      </c>
      <c r="H286" s="4"/>
      <c r="I286" s="4"/>
      <c r="J286" s="6"/>
    </row>
    <row r="287" spans="1:10" ht="28.5">
      <c r="A287" s="4"/>
      <c r="B287" s="4"/>
      <c r="C287" s="4"/>
      <c r="D287" s="4" t="s">
        <v>1006</v>
      </c>
      <c r="E287" s="4" t="s">
        <v>1007</v>
      </c>
      <c r="F287" s="4" t="s">
        <v>1008</v>
      </c>
      <c r="G287" s="4" t="s">
        <v>999</v>
      </c>
      <c r="H287" s="4"/>
      <c r="I287" s="4"/>
      <c r="J287" s="6"/>
    </row>
    <row r="288" spans="1:10">
      <c r="A288" s="4"/>
      <c r="B288" s="4"/>
      <c r="C288" s="4"/>
      <c r="D288" s="4" t="s">
        <v>1009</v>
      </c>
      <c r="E288" s="4" t="s">
        <v>1010</v>
      </c>
      <c r="F288" s="4" t="s">
        <v>1011</v>
      </c>
      <c r="G288" s="4" t="s">
        <v>999</v>
      </c>
      <c r="H288" s="4"/>
      <c r="I288" s="4"/>
      <c r="J288" s="6"/>
    </row>
    <row r="289" spans="1:10" ht="28.5">
      <c r="A289" s="4"/>
      <c r="B289" s="4"/>
      <c r="C289" s="4"/>
      <c r="D289" s="4" t="s">
        <v>1012</v>
      </c>
      <c r="E289" s="4" t="s">
        <v>1013</v>
      </c>
      <c r="F289" s="4" t="s">
        <v>1014</v>
      </c>
      <c r="G289" s="4" t="s">
        <v>999</v>
      </c>
      <c r="H289" s="4"/>
      <c r="I289" s="4"/>
      <c r="J289" s="6"/>
    </row>
    <row r="290" spans="1:10" ht="28.5">
      <c r="A290" s="4"/>
      <c r="B290" s="4"/>
      <c r="C290" s="4"/>
      <c r="D290" s="4" t="s">
        <v>996</v>
      </c>
      <c r="E290" s="4" t="s">
        <v>997</v>
      </c>
      <c r="F290" s="4" t="s">
        <v>998</v>
      </c>
      <c r="G290" s="4" t="s">
        <v>999</v>
      </c>
      <c r="H290" s="4"/>
      <c r="I290" s="4"/>
      <c r="J290" s="6"/>
    </row>
    <row r="291" spans="1:10" ht="28.5">
      <c r="A291" s="4"/>
      <c r="B291" s="4"/>
      <c r="C291" s="4"/>
      <c r="D291" s="4" t="s">
        <v>1000</v>
      </c>
      <c r="E291" s="4" t="s">
        <v>1001</v>
      </c>
      <c r="F291" s="4" t="s">
        <v>1002</v>
      </c>
      <c r="G291" s="4" t="s">
        <v>999</v>
      </c>
      <c r="H291" s="4"/>
      <c r="I291" s="4"/>
      <c r="J291" s="6"/>
    </row>
    <row r="292" spans="1:10" ht="28.5">
      <c r="A292" s="4"/>
      <c r="B292" s="4"/>
      <c r="C292" s="4"/>
      <c r="D292" s="4" t="s">
        <v>1003</v>
      </c>
      <c r="E292" s="4" t="s">
        <v>1004</v>
      </c>
      <c r="F292" s="4" t="s">
        <v>1005</v>
      </c>
      <c r="G292" s="4" t="s">
        <v>999</v>
      </c>
      <c r="H292" s="4"/>
      <c r="I292" s="4"/>
      <c r="J292" s="6"/>
    </row>
    <row r="293" spans="1:10" ht="28.5">
      <c r="A293" s="4"/>
      <c r="B293" s="4"/>
      <c r="C293" s="4"/>
      <c r="D293" s="4" t="s">
        <v>1006</v>
      </c>
      <c r="E293" s="4" t="s">
        <v>1007</v>
      </c>
      <c r="F293" s="4" t="s">
        <v>1008</v>
      </c>
      <c r="G293" s="4" t="s">
        <v>999</v>
      </c>
      <c r="H293" s="4"/>
      <c r="I293" s="4"/>
      <c r="J293" s="6"/>
    </row>
    <row r="294" spans="1:10">
      <c r="A294" s="4"/>
      <c r="B294" s="4"/>
      <c r="C294" s="4"/>
      <c r="D294" s="4" t="s">
        <v>1009</v>
      </c>
      <c r="E294" s="4" t="s">
        <v>1010</v>
      </c>
      <c r="F294" s="4" t="s">
        <v>1011</v>
      </c>
      <c r="G294" s="4" t="s">
        <v>999</v>
      </c>
      <c r="H294" s="4"/>
      <c r="I294" s="4"/>
      <c r="J294" s="6"/>
    </row>
    <row r="295" spans="1:10" ht="28.5">
      <c r="A295" s="4"/>
      <c r="B295" s="4"/>
      <c r="C295" s="4"/>
      <c r="D295" s="4" t="s">
        <v>1012</v>
      </c>
      <c r="E295" s="4" t="s">
        <v>1013</v>
      </c>
      <c r="F295" s="4" t="s">
        <v>1014</v>
      </c>
      <c r="G295" s="4" t="s">
        <v>999</v>
      </c>
      <c r="H295" s="4"/>
      <c r="I295" s="4"/>
      <c r="J295" s="6"/>
    </row>
    <row r="296" spans="1:10" ht="28.5">
      <c r="A296" s="4"/>
      <c r="B296" s="4"/>
      <c r="C296" s="4"/>
      <c r="D296" s="4" t="s">
        <v>996</v>
      </c>
      <c r="E296" s="4" t="s">
        <v>997</v>
      </c>
      <c r="F296" s="4" t="s">
        <v>998</v>
      </c>
      <c r="G296" s="4" t="s">
        <v>999</v>
      </c>
      <c r="H296" s="4"/>
      <c r="I296" s="4"/>
      <c r="J296" s="6"/>
    </row>
    <row r="297" spans="1:10" ht="28.5">
      <c r="A297" s="4"/>
      <c r="B297" s="4"/>
      <c r="C297" s="4"/>
      <c r="D297" s="4" t="s">
        <v>1000</v>
      </c>
      <c r="E297" s="4" t="s">
        <v>1001</v>
      </c>
      <c r="F297" s="4" t="s">
        <v>1002</v>
      </c>
      <c r="G297" s="4" t="s">
        <v>999</v>
      </c>
      <c r="H297" s="4"/>
      <c r="I297" s="4"/>
      <c r="J297" s="6"/>
    </row>
    <row r="298" spans="1:10" ht="28.5">
      <c r="A298" s="4"/>
      <c r="B298" s="4"/>
      <c r="C298" s="4"/>
      <c r="D298" s="4" t="s">
        <v>1003</v>
      </c>
      <c r="E298" s="4" t="s">
        <v>1004</v>
      </c>
      <c r="F298" s="4" t="s">
        <v>1005</v>
      </c>
      <c r="G298" s="4" t="s">
        <v>999</v>
      </c>
      <c r="H298" s="4"/>
      <c r="I298" s="4"/>
      <c r="J298" s="6"/>
    </row>
    <row r="299" spans="1:10" ht="28.5">
      <c r="A299" s="4"/>
      <c r="B299" s="4"/>
      <c r="C299" s="4"/>
      <c r="D299" s="4" t="s">
        <v>1006</v>
      </c>
      <c r="E299" s="4" t="s">
        <v>1007</v>
      </c>
      <c r="F299" s="4" t="s">
        <v>1008</v>
      </c>
      <c r="G299" s="4" t="s">
        <v>999</v>
      </c>
      <c r="H299" s="4"/>
      <c r="I299" s="4"/>
      <c r="J299" s="6"/>
    </row>
    <row r="300" spans="1:10">
      <c r="A300" s="4"/>
      <c r="B300" s="4"/>
      <c r="C300" s="4"/>
      <c r="D300" s="4" t="s">
        <v>1009</v>
      </c>
      <c r="E300" s="4" t="s">
        <v>1010</v>
      </c>
      <c r="F300" s="4" t="s">
        <v>1011</v>
      </c>
      <c r="G300" s="4" t="s">
        <v>999</v>
      </c>
      <c r="H300" s="4"/>
      <c r="I300" s="4"/>
      <c r="J300" s="6"/>
    </row>
    <row r="301" spans="1:10" ht="28.5">
      <c r="A301" s="4"/>
      <c r="B301" s="4"/>
      <c r="C301" s="4"/>
      <c r="D301" s="4" t="s">
        <v>1012</v>
      </c>
      <c r="E301" s="4" t="s">
        <v>1013</v>
      </c>
      <c r="F301" s="4" t="s">
        <v>1014</v>
      </c>
      <c r="G301" s="4" t="s">
        <v>999</v>
      </c>
      <c r="H301" s="4"/>
      <c r="I301" s="4"/>
      <c r="J301" s="6"/>
    </row>
    <row r="302" spans="1:10" ht="28.5">
      <c r="A302" s="4"/>
      <c r="B302" s="4"/>
      <c r="C302" s="4"/>
      <c r="D302" s="4" t="s">
        <v>996</v>
      </c>
      <c r="E302" s="4" t="s">
        <v>997</v>
      </c>
      <c r="F302" s="4" t="s">
        <v>998</v>
      </c>
      <c r="G302" s="4" t="s">
        <v>999</v>
      </c>
      <c r="H302" s="4"/>
      <c r="I302" s="4"/>
      <c r="J302" s="6"/>
    </row>
    <row r="303" spans="1:10" ht="28.5">
      <c r="A303" s="4"/>
      <c r="B303" s="4"/>
      <c r="C303" s="4"/>
      <c r="D303" s="4" t="s">
        <v>1000</v>
      </c>
      <c r="E303" s="4" t="s">
        <v>1001</v>
      </c>
      <c r="F303" s="4" t="s">
        <v>1002</v>
      </c>
      <c r="G303" s="4" t="s">
        <v>999</v>
      </c>
      <c r="H303" s="4"/>
      <c r="I303" s="4"/>
      <c r="J303" s="6"/>
    </row>
    <row r="304" spans="1:10" ht="28.5">
      <c r="A304" s="4"/>
      <c r="B304" s="4"/>
      <c r="C304" s="4"/>
      <c r="D304" s="4" t="s">
        <v>1003</v>
      </c>
      <c r="E304" s="4" t="s">
        <v>1004</v>
      </c>
      <c r="F304" s="4" t="s">
        <v>1005</v>
      </c>
      <c r="G304" s="4" t="s">
        <v>999</v>
      </c>
      <c r="H304" s="4"/>
      <c r="I304" s="4"/>
      <c r="J304" s="6"/>
    </row>
    <row r="305" spans="1:10" ht="28.5">
      <c r="A305" s="4"/>
      <c r="B305" s="4"/>
      <c r="C305" s="4"/>
      <c r="D305" s="4" t="s">
        <v>1006</v>
      </c>
      <c r="E305" s="4" t="s">
        <v>1007</v>
      </c>
      <c r="F305" s="4" t="s">
        <v>1008</v>
      </c>
      <c r="G305" s="4" t="s">
        <v>999</v>
      </c>
      <c r="H305" s="4"/>
      <c r="I305" s="4"/>
      <c r="J305" s="6"/>
    </row>
    <row r="306" spans="1:10">
      <c r="A306" s="4"/>
      <c r="B306" s="4"/>
      <c r="C306" s="4"/>
      <c r="D306" s="4" t="s">
        <v>1009</v>
      </c>
      <c r="E306" s="4" t="s">
        <v>1010</v>
      </c>
      <c r="F306" s="4" t="s">
        <v>1011</v>
      </c>
      <c r="G306" s="4" t="s">
        <v>999</v>
      </c>
      <c r="H306" s="4"/>
      <c r="I306" s="4"/>
      <c r="J306" s="6"/>
    </row>
    <row r="307" spans="1:10" ht="28.5">
      <c r="A307" s="4"/>
      <c r="B307" s="4"/>
      <c r="C307" s="4"/>
      <c r="D307" s="4" t="s">
        <v>1012</v>
      </c>
      <c r="E307" s="4" t="s">
        <v>1013</v>
      </c>
      <c r="F307" s="4" t="s">
        <v>1014</v>
      </c>
      <c r="G307" s="4" t="s">
        <v>999</v>
      </c>
      <c r="H307" s="4"/>
      <c r="I307" s="4"/>
      <c r="J307" s="6"/>
    </row>
    <row r="308" spans="1:10" ht="28.5">
      <c r="A308" s="4"/>
      <c r="B308" s="4"/>
      <c r="C308" s="4"/>
      <c r="D308" s="4" t="s">
        <v>996</v>
      </c>
      <c r="E308" s="4" t="s">
        <v>997</v>
      </c>
      <c r="F308" s="4" t="s">
        <v>998</v>
      </c>
      <c r="G308" s="4" t="s">
        <v>999</v>
      </c>
      <c r="H308" s="4"/>
      <c r="I308" s="4"/>
      <c r="J308" s="6"/>
    </row>
    <row r="309" spans="1:10" ht="28.5">
      <c r="A309" s="4"/>
      <c r="B309" s="4"/>
      <c r="C309" s="4"/>
      <c r="D309" s="4" t="s">
        <v>1000</v>
      </c>
      <c r="E309" s="4" t="s">
        <v>1001</v>
      </c>
      <c r="F309" s="4" t="s">
        <v>1002</v>
      </c>
      <c r="G309" s="4" t="s">
        <v>999</v>
      </c>
      <c r="H309" s="4"/>
      <c r="I309" s="4"/>
      <c r="J309" s="6"/>
    </row>
    <row r="310" spans="1:10" ht="28.5">
      <c r="A310" s="4"/>
      <c r="B310" s="4"/>
      <c r="C310" s="4"/>
      <c r="D310" s="4" t="s">
        <v>1003</v>
      </c>
      <c r="E310" s="4" t="s">
        <v>1004</v>
      </c>
      <c r="F310" s="4" t="s">
        <v>1005</v>
      </c>
      <c r="G310" s="4" t="s">
        <v>999</v>
      </c>
      <c r="H310" s="4"/>
      <c r="I310" s="4"/>
      <c r="J310" s="6"/>
    </row>
    <row r="311" spans="1:10" ht="28.5">
      <c r="A311" s="4"/>
      <c r="B311" s="4"/>
      <c r="C311" s="4"/>
      <c r="D311" s="4" t="s">
        <v>1006</v>
      </c>
      <c r="E311" s="4" t="s">
        <v>1007</v>
      </c>
      <c r="F311" s="4" t="s">
        <v>1008</v>
      </c>
      <c r="G311" s="4" t="s">
        <v>999</v>
      </c>
      <c r="H311" s="4"/>
      <c r="I311" s="4"/>
      <c r="J311" s="6"/>
    </row>
    <row r="312" spans="1:10">
      <c r="A312" s="4"/>
      <c r="B312" s="4"/>
      <c r="C312" s="4"/>
      <c r="D312" s="4" t="s">
        <v>1009</v>
      </c>
      <c r="E312" s="4" t="s">
        <v>1010</v>
      </c>
      <c r="F312" s="4" t="s">
        <v>1011</v>
      </c>
      <c r="G312" s="4" t="s">
        <v>999</v>
      </c>
      <c r="H312" s="4"/>
      <c r="I312" s="4"/>
      <c r="J312" s="6"/>
    </row>
    <row r="313" spans="1:10" ht="28.5">
      <c r="A313" s="4"/>
      <c r="B313" s="4"/>
      <c r="C313" s="4"/>
      <c r="D313" s="4" t="s">
        <v>1012</v>
      </c>
      <c r="E313" s="4" t="s">
        <v>1013</v>
      </c>
      <c r="F313" s="4" t="s">
        <v>1014</v>
      </c>
      <c r="G313" s="4" t="s">
        <v>999</v>
      </c>
      <c r="H313" s="4"/>
      <c r="I313" s="4"/>
      <c r="J313" s="6"/>
    </row>
    <row r="314" spans="1:10" ht="28.5">
      <c r="A314" s="4"/>
      <c r="B314" s="4"/>
      <c r="C314" s="4"/>
      <c r="D314" s="4" t="s">
        <v>996</v>
      </c>
      <c r="E314" s="4" t="s">
        <v>997</v>
      </c>
      <c r="F314" s="4" t="s">
        <v>998</v>
      </c>
      <c r="G314" s="4" t="s">
        <v>999</v>
      </c>
      <c r="H314" s="4"/>
      <c r="I314" s="4"/>
      <c r="J314" s="6"/>
    </row>
    <row r="315" spans="1:10" ht="28.5">
      <c r="A315" s="4"/>
      <c r="B315" s="4"/>
      <c r="C315" s="4"/>
      <c r="D315" s="4" t="s">
        <v>1000</v>
      </c>
      <c r="E315" s="4" t="s">
        <v>1001</v>
      </c>
      <c r="F315" s="4" t="s">
        <v>1002</v>
      </c>
      <c r="G315" s="4" t="s">
        <v>999</v>
      </c>
      <c r="H315" s="4"/>
      <c r="I315" s="4"/>
      <c r="J315" s="6"/>
    </row>
    <row r="316" spans="1:10" ht="28.5">
      <c r="A316" s="4"/>
      <c r="B316" s="4"/>
      <c r="C316" s="4"/>
      <c r="D316" s="4" t="s">
        <v>1003</v>
      </c>
      <c r="E316" s="4" t="s">
        <v>1004</v>
      </c>
      <c r="F316" s="4" t="s">
        <v>1005</v>
      </c>
      <c r="G316" s="4" t="s">
        <v>999</v>
      </c>
      <c r="H316" s="4"/>
      <c r="I316" s="4"/>
      <c r="J316" s="6"/>
    </row>
    <row r="317" spans="1:10" ht="28.5">
      <c r="A317" s="4"/>
      <c r="B317" s="4"/>
      <c r="C317" s="4"/>
      <c r="D317" s="4" t="s">
        <v>1006</v>
      </c>
      <c r="E317" s="4" t="s">
        <v>1007</v>
      </c>
      <c r="F317" s="4" t="s">
        <v>1008</v>
      </c>
      <c r="G317" s="4" t="s">
        <v>999</v>
      </c>
      <c r="H317" s="4"/>
      <c r="I317" s="4"/>
      <c r="J317" s="6"/>
    </row>
    <row r="318" spans="1:10">
      <c r="A318" s="4"/>
      <c r="B318" s="4"/>
      <c r="C318" s="4"/>
      <c r="D318" s="4" t="s">
        <v>1009</v>
      </c>
      <c r="E318" s="4" t="s">
        <v>1010</v>
      </c>
      <c r="F318" s="4" t="s">
        <v>1011</v>
      </c>
      <c r="G318" s="4" t="s">
        <v>999</v>
      </c>
      <c r="H318" s="4"/>
      <c r="I318" s="4"/>
      <c r="J318" s="6"/>
    </row>
    <row r="319" spans="1:10" ht="28.5">
      <c r="A319" s="4"/>
      <c r="B319" s="4"/>
      <c r="C319" s="4"/>
      <c r="D319" s="4" t="s">
        <v>1012</v>
      </c>
      <c r="E319" s="4" t="s">
        <v>1013</v>
      </c>
      <c r="F319" s="4" t="s">
        <v>1014</v>
      </c>
      <c r="G319" s="4" t="s">
        <v>999</v>
      </c>
      <c r="H319" s="4"/>
      <c r="I319" s="4"/>
      <c r="J319" s="6"/>
    </row>
    <row r="320" spans="1:10" ht="28.5">
      <c r="A320" s="4"/>
      <c r="B320" s="4"/>
      <c r="C320" s="4"/>
      <c r="D320" s="4" t="s">
        <v>996</v>
      </c>
      <c r="E320" s="4" t="s">
        <v>997</v>
      </c>
      <c r="F320" s="4" t="s">
        <v>998</v>
      </c>
      <c r="G320" s="4" t="s">
        <v>999</v>
      </c>
      <c r="H320" s="4"/>
      <c r="I320" s="4"/>
      <c r="J320" s="6"/>
    </row>
    <row r="321" spans="1:10" ht="28.5">
      <c r="A321" s="4"/>
      <c r="B321" s="4"/>
      <c r="C321" s="4"/>
      <c r="D321" s="4" t="s">
        <v>1000</v>
      </c>
      <c r="E321" s="4" t="s">
        <v>1001</v>
      </c>
      <c r="F321" s="4" t="s">
        <v>1002</v>
      </c>
      <c r="G321" s="4" t="s">
        <v>999</v>
      </c>
      <c r="H321" s="4"/>
      <c r="I321" s="4"/>
      <c r="J321" s="6"/>
    </row>
    <row r="322" spans="1:10" ht="28.5">
      <c r="A322" s="4"/>
      <c r="B322" s="4"/>
      <c r="C322" s="4"/>
      <c r="D322" s="4" t="s">
        <v>1003</v>
      </c>
      <c r="E322" s="4" t="s">
        <v>1004</v>
      </c>
      <c r="F322" s="4" t="s">
        <v>1005</v>
      </c>
      <c r="G322" s="4" t="s">
        <v>999</v>
      </c>
      <c r="H322" s="4"/>
      <c r="I322" s="4"/>
      <c r="J322" s="6"/>
    </row>
    <row r="323" spans="1:10" ht="28.5">
      <c r="A323" s="4"/>
      <c r="B323" s="4"/>
      <c r="C323" s="4"/>
      <c r="D323" s="4" t="s">
        <v>1006</v>
      </c>
      <c r="E323" s="4" t="s">
        <v>1007</v>
      </c>
      <c r="F323" s="4" t="s">
        <v>1008</v>
      </c>
      <c r="G323" s="4" t="s">
        <v>999</v>
      </c>
      <c r="H323" s="4"/>
      <c r="I323" s="4"/>
      <c r="J323" s="6"/>
    </row>
    <row r="324" spans="1:10">
      <c r="A324" s="4"/>
      <c r="B324" s="4"/>
      <c r="C324" s="4"/>
      <c r="D324" s="4" t="s">
        <v>1009</v>
      </c>
      <c r="E324" s="4" t="s">
        <v>1010</v>
      </c>
      <c r="F324" s="4" t="s">
        <v>1011</v>
      </c>
      <c r="G324" s="4" t="s">
        <v>999</v>
      </c>
      <c r="H324" s="4"/>
      <c r="I324" s="4"/>
      <c r="J324" s="6"/>
    </row>
    <row r="325" spans="1:10" ht="28.5">
      <c r="A325" s="4"/>
      <c r="B325" s="4"/>
      <c r="C325" s="4"/>
      <c r="D325" s="4" t="s">
        <v>1012</v>
      </c>
      <c r="E325" s="4" t="s">
        <v>1013</v>
      </c>
      <c r="F325" s="4" t="s">
        <v>1014</v>
      </c>
      <c r="G325" s="4" t="s">
        <v>999</v>
      </c>
      <c r="H325" s="4"/>
      <c r="I325" s="4"/>
      <c r="J325" s="6"/>
    </row>
    <row r="326" spans="1:10" ht="28.5">
      <c r="A326" s="4"/>
      <c r="B326" s="4"/>
      <c r="C326" s="4"/>
      <c r="D326" s="4" t="s">
        <v>996</v>
      </c>
      <c r="E326" s="4" t="s">
        <v>997</v>
      </c>
      <c r="F326" s="4" t="s">
        <v>998</v>
      </c>
      <c r="G326" s="4" t="s">
        <v>999</v>
      </c>
      <c r="H326" s="4"/>
      <c r="I326" s="4"/>
      <c r="J326" s="6"/>
    </row>
    <row r="327" spans="1:10" ht="28.5">
      <c r="A327" s="4"/>
      <c r="B327" s="4"/>
      <c r="C327" s="4"/>
      <c r="D327" s="4" t="s">
        <v>1000</v>
      </c>
      <c r="E327" s="4" t="s">
        <v>1001</v>
      </c>
      <c r="F327" s="4" t="s">
        <v>1002</v>
      </c>
      <c r="G327" s="4" t="s">
        <v>999</v>
      </c>
      <c r="H327" s="4"/>
      <c r="I327" s="4"/>
      <c r="J327" s="6"/>
    </row>
    <row r="328" spans="1:10" ht="28.5">
      <c r="A328" s="4"/>
      <c r="B328" s="4"/>
      <c r="C328" s="4"/>
      <c r="D328" s="4" t="s">
        <v>1003</v>
      </c>
      <c r="E328" s="4" t="s">
        <v>1004</v>
      </c>
      <c r="F328" s="4" t="s">
        <v>1005</v>
      </c>
      <c r="G328" s="4" t="s">
        <v>999</v>
      </c>
      <c r="H328" s="4"/>
      <c r="I328" s="4"/>
      <c r="J328" s="6"/>
    </row>
    <row r="329" spans="1:10" ht="28.5">
      <c r="A329" s="4"/>
      <c r="B329" s="4"/>
      <c r="C329" s="4"/>
      <c r="D329" s="4" t="s">
        <v>1006</v>
      </c>
      <c r="E329" s="4" t="s">
        <v>1007</v>
      </c>
      <c r="F329" s="4" t="s">
        <v>1008</v>
      </c>
      <c r="G329" s="4" t="s">
        <v>999</v>
      </c>
      <c r="H329" s="4"/>
      <c r="I329" s="4"/>
      <c r="J329" s="6"/>
    </row>
    <row r="330" spans="1:10">
      <c r="A330" s="4"/>
      <c r="B330" s="4"/>
      <c r="C330" s="4"/>
      <c r="D330" s="4" t="s">
        <v>1009</v>
      </c>
      <c r="E330" s="4" t="s">
        <v>1010</v>
      </c>
      <c r="F330" s="4" t="s">
        <v>1011</v>
      </c>
      <c r="G330" s="4" t="s">
        <v>999</v>
      </c>
      <c r="H330" s="4"/>
      <c r="I330" s="4"/>
      <c r="J330" s="6"/>
    </row>
    <row r="331" spans="1:10" ht="28.5">
      <c r="A331" s="4"/>
      <c r="B331" s="4"/>
      <c r="C331" s="4"/>
      <c r="D331" s="4" t="s">
        <v>1012</v>
      </c>
      <c r="E331" s="4" t="s">
        <v>1013</v>
      </c>
      <c r="F331" s="4" t="s">
        <v>1014</v>
      </c>
      <c r="G331" s="4" t="s">
        <v>999</v>
      </c>
      <c r="H331" s="4"/>
      <c r="I331" s="4"/>
      <c r="J331" s="6"/>
    </row>
    <row r="332" spans="1:10" ht="28.5">
      <c r="A332" s="4"/>
      <c r="B332" s="4"/>
      <c r="C332" s="4"/>
      <c r="D332" s="4" t="s">
        <v>996</v>
      </c>
      <c r="E332" s="4" t="s">
        <v>997</v>
      </c>
      <c r="F332" s="4" t="s">
        <v>998</v>
      </c>
      <c r="G332" s="4" t="s">
        <v>999</v>
      </c>
      <c r="H332" s="4"/>
      <c r="I332" s="4"/>
      <c r="J332" s="6"/>
    </row>
    <row r="333" spans="1:10" ht="28.5">
      <c r="A333" s="4"/>
      <c r="B333" s="4"/>
      <c r="C333" s="4"/>
      <c r="D333" s="4" t="s">
        <v>1000</v>
      </c>
      <c r="E333" s="4" t="s">
        <v>1001</v>
      </c>
      <c r="F333" s="4" t="s">
        <v>1002</v>
      </c>
      <c r="G333" s="4" t="s">
        <v>999</v>
      </c>
      <c r="H333" s="4"/>
      <c r="I333" s="4"/>
      <c r="J333" s="6"/>
    </row>
    <row r="334" spans="1:10" ht="28.5">
      <c r="A334" s="4"/>
      <c r="B334" s="4"/>
      <c r="C334" s="4"/>
      <c r="D334" s="4" t="s">
        <v>1003</v>
      </c>
      <c r="E334" s="4" t="s">
        <v>1004</v>
      </c>
      <c r="F334" s="4" t="s">
        <v>1005</v>
      </c>
      <c r="G334" s="4" t="s">
        <v>999</v>
      </c>
      <c r="H334" s="4"/>
      <c r="I334" s="4"/>
      <c r="J334" s="6"/>
    </row>
    <row r="335" spans="1:10" ht="28.5">
      <c r="A335" s="4"/>
      <c r="B335" s="4"/>
      <c r="C335" s="4"/>
      <c r="D335" s="4" t="s">
        <v>1006</v>
      </c>
      <c r="E335" s="4" t="s">
        <v>1007</v>
      </c>
      <c r="F335" s="4" t="s">
        <v>1008</v>
      </c>
      <c r="G335" s="4" t="s">
        <v>999</v>
      </c>
      <c r="H335" s="4"/>
      <c r="I335" s="4"/>
      <c r="J335" s="6"/>
    </row>
    <row r="336" spans="1:10">
      <c r="A336" s="4"/>
      <c r="B336" s="4"/>
      <c r="C336" s="4"/>
      <c r="D336" s="4" t="s">
        <v>1009</v>
      </c>
      <c r="E336" s="4" t="s">
        <v>1010</v>
      </c>
      <c r="F336" s="4" t="s">
        <v>1011</v>
      </c>
      <c r="G336" s="4" t="s">
        <v>999</v>
      </c>
      <c r="H336" s="4"/>
      <c r="I336" s="4"/>
      <c r="J336" s="6"/>
    </row>
    <row r="337" spans="1:10" ht="28.5">
      <c r="A337" s="4"/>
      <c r="B337" s="4"/>
      <c r="C337" s="4"/>
      <c r="D337" s="4" t="s">
        <v>1012</v>
      </c>
      <c r="E337" s="4" t="s">
        <v>1013</v>
      </c>
      <c r="F337" s="4" t="s">
        <v>1014</v>
      </c>
      <c r="G337" s="4" t="s">
        <v>999</v>
      </c>
      <c r="H337" s="4"/>
      <c r="I337" s="4"/>
      <c r="J337" s="6"/>
    </row>
    <row r="338" spans="1:10" ht="28.5">
      <c r="A338" s="4"/>
      <c r="B338" s="4"/>
      <c r="C338" s="4"/>
      <c r="D338" s="4" t="s">
        <v>996</v>
      </c>
      <c r="E338" s="4" t="s">
        <v>997</v>
      </c>
      <c r="F338" s="4" t="s">
        <v>998</v>
      </c>
      <c r="G338" s="4" t="s">
        <v>999</v>
      </c>
      <c r="H338" s="4"/>
      <c r="I338" s="4"/>
      <c r="J338" s="6"/>
    </row>
    <row r="339" spans="1:10" ht="28.5">
      <c r="A339" s="4"/>
      <c r="B339" s="4"/>
      <c r="C339" s="4"/>
      <c r="D339" s="4" t="s">
        <v>1000</v>
      </c>
      <c r="E339" s="4" t="s">
        <v>1001</v>
      </c>
      <c r="F339" s="4" t="s">
        <v>1002</v>
      </c>
      <c r="G339" s="4" t="s">
        <v>999</v>
      </c>
      <c r="H339" s="4"/>
      <c r="I339" s="4"/>
      <c r="J339" s="6"/>
    </row>
    <row r="340" spans="1:10" ht="28.5">
      <c r="A340" s="4"/>
      <c r="B340" s="4"/>
      <c r="C340" s="4"/>
      <c r="D340" s="4" t="s">
        <v>1003</v>
      </c>
      <c r="E340" s="4" t="s">
        <v>1004</v>
      </c>
      <c r="F340" s="4" t="s">
        <v>1005</v>
      </c>
      <c r="G340" s="4" t="s">
        <v>999</v>
      </c>
      <c r="H340" s="4"/>
      <c r="I340" s="4"/>
      <c r="J340" s="6"/>
    </row>
    <row r="341" spans="1:10" ht="28.5">
      <c r="A341" s="4"/>
      <c r="B341" s="4"/>
      <c r="C341" s="4"/>
      <c r="D341" s="4" t="s">
        <v>1006</v>
      </c>
      <c r="E341" s="4" t="s">
        <v>1007</v>
      </c>
      <c r="F341" s="4" t="s">
        <v>1008</v>
      </c>
      <c r="G341" s="4" t="s">
        <v>999</v>
      </c>
      <c r="H341" s="4"/>
      <c r="I341" s="4"/>
      <c r="J341" s="6"/>
    </row>
    <row r="342" spans="1:10">
      <c r="A342" s="4"/>
      <c r="B342" s="4"/>
      <c r="C342" s="4"/>
      <c r="D342" s="4" t="s">
        <v>1009</v>
      </c>
      <c r="E342" s="4" t="s">
        <v>1010</v>
      </c>
      <c r="F342" s="4" t="s">
        <v>1011</v>
      </c>
      <c r="G342" s="4" t="s">
        <v>999</v>
      </c>
      <c r="H342" s="4"/>
      <c r="I342" s="4"/>
      <c r="J342" s="6"/>
    </row>
    <row r="343" spans="1:10" ht="28.5">
      <c r="A343" s="4"/>
      <c r="B343" s="4"/>
      <c r="C343" s="4"/>
      <c r="D343" s="4" t="s">
        <v>1012</v>
      </c>
      <c r="E343" s="4" t="s">
        <v>1013</v>
      </c>
      <c r="F343" s="4" t="s">
        <v>1014</v>
      </c>
      <c r="G343" s="4" t="s">
        <v>999</v>
      </c>
      <c r="H343" s="4"/>
      <c r="I343" s="4"/>
      <c r="J343" s="6"/>
    </row>
    <row r="344" spans="1:10" ht="28.5">
      <c r="A344" s="4"/>
      <c r="B344" s="4"/>
      <c r="C344" s="4"/>
      <c r="D344" s="4" t="s">
        <v>996</v>
      </c>
      <c r="E344" s="4" t="s">
        <v>997</v>
      </c>
      <c r="F344" s="4" t="s">
        <v>998</v>
      </c>
      <c r="G344" s="4" t="s">
        <v>999</v>
      </c>
      <c r="H344" s="4"/>
      <c r="I344" s="4"/>
      <c r="J344" s="6"/>
    </row>
    <row r="345" spans="1:10" ht="28.5">
      <c r="A345" s="4"/>
      <c r="B345" s="4"/>
      <c r="C345" s="4"/>
      <c r="D345" s="4" t="s">
        <v>1000</v>
      </c>
      <c r="E345" s="4" t="s">
        <v>1001</v>
      </c>
      <c r="F345" s="4" t="s">
        <v>1002</v>
      </c>
      <c r="G345" s="4" t="s">
        <v>999</v>
      </c>
      <c r="H345" s="4"/>
      <c r="I345" s="4"/>
      <c r="J345" s="6"/>
    </row>
    <row r="346" spans="1:10" ht="28.5">
      <c r="A346" s="4"/>
      <c r="B346" s="4"/>
      <c r="C346" s="4"/>
      <c r="D346" s="4" t="s">
        <v>1003</v>
      </c>
      <c r="E346" s="4" t="s">
        <v>1004</v>
      </c>
      <c r="F346" s="4" t="s">
        <v>1005</v>
      </c>
      <c r="G346" s="4" t="s">
        <v>999</v>
      </c>
      <c r="H346" s="4"/>
      <c r="I346" s="4"/>
      <c r="J346" s="6"/>
    </row>
    <row r="347" spans="1:10" ht="28.5">
      <c r="A347" s="4"/>
      <c r="B347" s="4"/>
      <c r="C347" s="4"/>
      <c r="D347" s="4" t="s">
        <v>1006</v>
      </c>
      <c r="E347" s="4" t="s">
        <v>1007</v>
      </c>
      <c r="F347" s="4" t="s">
        <v>1008</v>
      </c>
      <c r="G347" s="4" t="s">
        <v>999</v>
      </c>
      <c r="H347" s="4"/>
      <c r="I347" s="4"/>
      <c r="J347" s="6"/>
    </row>
    <row r="348" spans="1:10">
      <c r="A348" s="4"/>
      <c r="B348" s="4"/>
      <c r="C348" s="4"/>
      <c r="D348" s="4" t="s">
        <v>1009</v>
      </c>
      <c r="E348" s="4" t="s">
        <v>1010</v>
      </c>
      <c r="F348" s="4" t="s">
        <v>1011</v>
      </c>
      <c r="G348" s="4" t="s">
        <v>999</v>
      </c>
      <c r="H348" s="4"/>
      <c r="I348" s="4"/>
      <c r="J348" s="6"/>
    </row>
    <row r="349" spans="1:10" ht="28.5">
      <c r="A349" s="4"/>
      <c r="B349" s="4"/>
      <c r="C349" s="4"/>
      <c r="D349" s="4" t="s">
        <v>1012</v>
      </c>
      <c r="E349" s="4" t="s">
        <v>1013</v>
      </c>
      <c r="F349" s="4" t="s">
        <v>1014</v>
      </c>
      <c r="G349" s="4" t="s">
        <v>999</v>
      </c>
      <c r="H349" s="4"/>
      <c r="I349" s="4"/>
      <c r="J349" s="6"/>
    </row>
    <row r="350" spans="1:10" ht="28.5">
      <c r="A350" s="4"/>
      <c r="B350" s="4"/>
      <c r="C350" s="4"/>
      <c r="D350" s="4" t="s">
        <v>996</v>
      </c>
      <c r="E350" s="4" t="s">
        <v>997</v>
      </c>
      <c r="F350" s="4" t="s">
        <v>998</v>
      </c>
      <c r="G350" s="4" t="s">
        <v>999</v>
      </c>
      <c r="H350" s="4"/>
      <c r="I350" s="4"/>
      <c r="J350" s="6"/>
    </row>
    <row r="351" spans="1:10" ht="28.5">
      <c r="A351" s="4"/>
      <c r="B351" s="4"/>
      <c r="C351" s="4"/>
      <c r="D351" s="4" t="s">
        <v>1000</v>
      </c>
      <c r="E351" s="4" t="s">
        <v>1001</v>
      </c>
      <c r="F351" s="4" t="s">
        <v>1002</v>
      </c>
      <c r="G351" s="4" t="s">
        <v>999</v>
      </c>
      <c r="H351" s="4"/>
      <c r="I351" s="4"/>
      <c r="J351" s="6"/>
    </row>
    <row r="352" spans="1:10" ht="28.5">
      <c r="A352" s="4"/>
      <c r="B352" s="4"/>
      <c r="C352" s="4"/>
      <c r="D352" s="4" t="s">
        <v>1003</v>
      </c>
      <c r="E352" s="4" t="s">
        <v>1004</v>
      </c>
      <c r="F352" s="4" t="s">
        <v>1005</v>
      </c>
      <c r="G352" s="4" t="s">
        <v>999</v>
      </c>
      <c r="H352" s="4"/>
      <c r="I352" s="4"/>
      <c r="J352" s="6"/>
    </row>
    <row r="353" spans="1:10" ht="28.5">
      <c r="A353" s="4"/>
      <c r="B353" s="4"/>
      <c r="C353" s="4"/>
      <c r="D353" s="4" t="s">
        <v>1006</v>
      </c>
      <c r="E353" s="4" t="s">
        <v>1007</v>
      </c>
      <c r="F353" s="4" t="s">
        <v>1008</v>
      </c>
      <c r="G353" s="4" t="s">
        <v>999</v>
      </c>
      <c r="H353" s="4"/>
      <c r="I353" s="4"/>
      <c r="J353" s="6"/>
    </row>
    <row r="354" spans="1:10">
      <c r="A354" s="4"/>
      <c r="B354" s="4"/>
      <c r="C354" s="4"/>
      <c r="D354" s="4" t="s">
        <v>1009</v>
      </c>
      <c r="E354" s="4" t="s">
        <v>1010</v>
      </c>
      <c r="F354" s="4" t="s">
        <v>1011</v>
      </c>
      <c r="G354" s="4" t="s">
        <v>999</v>
      </c>
      <c r="H354" s="4"/>
      <c r="I354" s="4"/>
      <c r="J354" s="6"/>
    </row>
    <row r="355" spans="1:10" ht="28.5">
      <c r="A355" s="4"/>
      <c r="B355" s="4"/>
      <c r="C355" s="4"/>
      <c r="D355" s="4" t="s">
        <v>1012</v>
      </c>
      <c r="E355" s="4" t="s">
        <v>1013</v>
      </c>
      <c r="F355" s="4" t="s">
        <v>1014</v>
      </c>
      <c r="G355" s="4" t="s">
        <v>999</v>
      </c>
      <c r="H355" s="4"/>
      <c r="I355" s="4"/>
      <c r="J355" s="6"/>
    </row>
    <row r="356" spans="1:10" ht="28.5">
      <c r="A356" s="4"/>
      <c r="B356" s="4"/>
      <c r="C356" s="4"/>
      <c r="D356" s="4" t="s">
        <v>996</v>
      </c>
      <c r="E356" s="4" t="s">
        <v>997</v>
      </c>
      <c r="F356" s="4" t="s">
        <v>998</v>
      </c>
      <c r="G356" s="4" t="s">
        <v>999</v>
      </c>
      <c r="H356" s="4"/>
      <c r="I356" s="4"/>
      <c r="J356" s="6"/>
    </row>
    <row r="357" spans="1:10" ht="28.5">
      <c r="A357" s="4"/>
      <c r="B357" s="4"/>
      <c r="C357" s="4"/>
      <c r="D357" s="4" t="s">
        <v>1000</v>
      </c>
      <c r="E357" s="4" t="s">
        <v>1001</v>
      </c>
      <c r="F357" s="4" t="s">
        <v>1002</v>
      </c>
      <c r="G357" s="4" t="s">
        <v>999</v>
      </c>
      <c r="H357" s="4"/>
      <c r="I357" s="4"/>
      <c r="J357" s="6"/>
    </row>
    <row r="358" spans="1:10" ht="28.5">
      <c r="A358" s="4"/>
      <c r="B358" s="4"/>
      <c r="C358" s="4"/>
      <c r="D358" s="4" t="s">
        <v>1003</v>
      </c>
      <c r="E358" s="4" t="s">
        <v>1004</v>
      </c>
      <c r="F358" s="4" t="s">
        <v>1005</v>
      </c>
      <c r="G358" s="4" t="s">
        <v>999</v>
      </c>
      <c r="H358" s="4"/>
      <c r="I358" s="4"/>
      <c r="J358" s="6"/>
    </row>
    <row r="359" spans="1:10" ht="28.5">
      <c r="A359" s="4"/>
      <c r="B359" s="4"/>
      <c r="C359" s="4"/>
      <c r="D359" s="4" t="s">
        <v>1006</v>
      </c>
      <c r="E359" s="4" t="s">
        <v>1007</v>
      </c>
      <c r="F359" s="4" t="s">
        <v>1008</v>
      </c>
      <c r="G359" s="4" t="s">
        <v>999</v>
      </c>
      <c r="H359" s="4"/>
      <c r="I359" s="4"/>
      <c r="J359" s="6"/>
    </row>
    <row r="360" spans="1:10">
      <c r="A360" s="4"/>
      <c r="B360" s="4"/>
      <c r="C360" s="4"/>
      <c r="D360" s="4" t="s">
        <v>1009</v>
      </c>
      <c r="E360" s="4" t="s">
        <v>1010</v>
      </c>
      <c r="F360" s="4" t="s">
        <v>1011</v>
      </c>
      <c r="G360" s="4" t="s">
        <v>999</v>
      </c>
      <c r="H360" s="4"/>
      <c r="I360" s="4"/>
      <c r="J360" s="6"/>
    </row>
    <row r="361" spans="1:10" ht="28.5">
      <c r="A361" s="4"/>
      <c r="B361" s="4"/>
      <c r="C361" s="4"/>
      <c r="D361" s="4" t="s">
        <v>1012</v>
      </c>
      <c r="E361" s="4" t="s">
        <v>1013</v>
      </c>
      <c r="F361" s="4" t="s">
        <v>1014</v>
      </c>
      <c r="G361" s="4" t="s">
        <v>999</v>
      </c>
      <c r="H361" s="4"/>
      <c r="I361" s="4"/>
      <c r="J361" s="6"/>
    </row>
    <row r="362" spans="1:10">
      <c r="D362" t="s">
        <v>996</v>
      </c>
      <c r="E362" t="s">
        <v>997</v>
      </c>
      <c r="F362" t="s">
        <v>998</v>
      </c>
      <c r="G362" t="s">
        <v>999</v>
      </c>
    </row>
    <row r="363" spans="1:10">
      <c r="D363" t="s">
        <v>1000</v>
      </c>
      <c r="E363" t="s">
        <v>1001</v>
      </c>
      <c r="F363" t="s">
        <v>1002</v>
      </c>
      <c r="G363" t="s">
        <v>999</v>
      </c>
    </row>
    <row r="364" spans="1:10">
      <c r="D364" t="s">
        <v>1003</v>
      </c>
      <c r="E364" t="s">
        <v>1004</v>
      </c>
      <c r="F364" t="s">
        <v>1005</v>
      </c>
      <c r="G364" t="s">
        <v>999</v>
      </c>
    </row>
    <row r="365" spans="1:10">
      <c r="D365" t="s">
        <v>1006</v>
      </c>
      <c r="E365" t="s">
        <v>1007</v>
      </c>
      <c r="F365" t="s">
        <v>1008</v>
      </c>
      <c r="G365" t="s">
        <v>999</v>
      </c>
    </row>
    <row r="366" spans="1:10">
      <c r="D366" t="s">
        <v>1009</v>
      </c>
      <c r="E366" t="s">
        <v>1010</v>
      </c>
      <c r="F366" t="s">
        <v>1011</v>
      </c>
      <c r="G366" t="s">
        <v>999</v>
      </c>
    </row>
    <row r="367" spans="1:10">
      <c r="D367" t="s">
        <v>1012</v>
      </c>
      <c r="E367" t="s">
        <v>1013</v>
      </c>
      <c r="F367" t="s">
        <v>1014</v>
      </c>
      <c r="G367" t="s">
        <v>999</v>
      </c>
    </row>
    <row r="368" spans="1:10">
      <c r="D368" t="s">
        <v>996</v>
      </c>
      <c r="E368" t="s">
        <v>997</v>
      </c>
      <c r="F368" t="s">
        <v>998</v>
      </c>
      <c r="G368" t="s">
        <v>999</v>
      </c>
    </row>
    <row r="369" spans="4:7">
      <c r="D369" t="s">
        <v>1000</v>
      </c>
      <c r="E369" t="s">
        <v>1001</v>
      </c>
      <c r="F369" t="s">
        <v>1002</v>
      </c>
      <c r="G369" t="s">
        <v>999</v>
      </c>
    </row>
    <row r="370" spans="4:7">
      <c r="D370" t="s">
        <v>1003</v>
      </c>
      <c r="E370" t="s">
        <v>1004</v>
      </c>
      <c r="F370" t="s">
        <v>1005</v>
      </c>
      <c r="G370" t="s">
        <v>999</v>
      </c>
    </row>
    <row r="371" spans="4:7">
      <c r="D371" t="s">
        <v>1006</v>
      </c>
      <c r="E371" t="s">
        <v>1007</v>
      </c>
      <c r="F371" t="s">
        <v>1008</v>
      </c>
      <c r="G371" t="s">
        <v>999</v>
      </c>
    </row>
    <row r="372" spans="4:7">
      <c r="D372" t="s">
        <v>1009</v>
      </c>
      <c r="E372" t="s">
        <v>1010</v>
      </c>
      <c r="F372" t="s">
        <v>1011</v>
      </c>
      <c r="G372" t="s">
        <v>999</v>
      </c>
    </row>
    <row r="373" spans="4:7">
      <c r="D373" t="s">
        <v>1012</v>
      </c>
      <c r="E373" t="s">
        <v>1013</v>
      </c>
      <c r="F373" t="s">
        <v>1014</v>
      </c>
      <c r="G373" t="s">
        <v>999</v>
      </c>
    </row>
    <row r="374" spans="4:7">
      <c r="D374" t="s">
        <v>996</v>
      </c>
      <c r="E374" t="s">
        <v>997</v>
      </c>
      <c r="F374" t="s">
        <v>998</v>
      </c>
      <c r="G374" t="s">
        <v>999</v>
      </c>
    </row>
    <row r="375" spans="4:7">
      <c r="D375" t="s">
        <v>1000</v>
      </c>
      <c r="E375" t="s">
        <v>1001</v>
      </c>
      <c r="F375" t="s">
        <v>1002</v>
      </c>
      <c r="G375" t="s">
        <v>999</v>
      </c>
    </row>
    <row r="376" spans="4:7">
      <c r="D376" t="s">
        <v>1003</v>
      </c>
      <c r="E376" t="s">
        <v>1004</v>
      </c>
      <c r="F376" t="s">
        <v>1005</v>
      </c>
      <c r="G376" t="s">
        <v>999</v>
      </c>
    </row>
    <row r="377" spans="4:7">
      <c r="D377" t="s">
        <v>1006</v>
      </c>
      <c r="E377" t="s">
        <v>1007</v>
      </c>
      <c r="F377" t="s">
        <v>1008</v>
      </c>
      <c r="G377" t="s">
        <v>999</v>
      </c>
    </row>
    <row r="378" spans="4:7">
      <c r="D378" t="s">
        <v>1009</v>
      </c>
      <c r="E378" t="s">
        <v>1010</v>
      </c>
      <c r="F378" t="s">
        <v>1011</v>
      </c>
      <c r="G378" t="s">
        <v>999</v>
      </c>
    </row>
    <row r="379" spans="4:7">
      <c r="D379" t="s">
        <v>1012</v>
      </c>
      <c r="E379" t="s">
        <v>1013</v>
      </c>
      <c r="F379" t="s">
        <v>1014</v>
      </c>
      <c r="G379" t="s">
        <v>999</v>
      </c>
    </row>
    <row r="380" spans="4:7">
      <c r="D380" t="s">
        <v>996</v>
      </c>
      <c r="E380" t="s">
        <v>997</v>
      </c>
      <c r="F380" t="s">
        <v>998</v>
      </c>
      <c r="G380" t="s">
        <v>999</v>
      </c>
    </row>
    <row r="381" spans="4:7">
      <c r="D381" t="s">
        <v>1000</v>
      </c>
      <c r="E381" t="s">
        <v>1001</v>
      </c>
      <c r="F381" t="s">
        <v>1002</v>
      </c>
      <c r="G381" t="s">
        <v>999</v>
      </c>
    </row>
    <row r="382" spans="4:7">
      <c r="D382" t="s">
        <v>1003</v>
      </c>
      <c r="E382" t="s">
        <v>1004</v>
      </c>
      <c r="F382" t="s">
        <v>1005</v>
      </c>
      <c r="G382" t="s">
        <v>999</v>
      </c>
    </row>
    <row r="383" spans="4:7">
      <c r="D383" t="s">
        <v>1006</v>
      </c>
      <c r="E383" t="s">
        <v>1007</v>
      </c>
      <c r="F383" t="s">
        <v>1008</v>
      </c>
      <c r="G383" t="s">
        <v>999</v>
      </c>
    </row>
    <row r="384" spans="4:7">
      <c r="D384" t="s">
        <v>1009</v>
      </c>
      <c r="E384" t="s">
        <v>1010</v>
      </c>
      <c r="F384" t="s">
        <v>1011</v>
      </c>
      <c r="G384" t="s">
        <v>999</v>
      </c>
    </row>
    <row r="385" spans="4:7">
      <c r="D385" t="s">
        <v>1012</v>
      </c>
      <c r="E385" t="s">
        <v>1013</v>
      </c>
      <c r="F385" t="s">
        <v>1014</v>
      </c>
      <c r="G385" t="s">
        <v>999</v>
      </c>
    </row>
    <row r="386" spans="4:7">
      <c r="D386" t="s">
        <v>996</v>
      </c>
      <c r="E386" t="s">
        <v>997</v>
      </c>
      <c r="F386" t="s">
        <v>998</v>
      </c>
      <c r="G386" t="s">
        <v>999</v>
      </c>
    </row>
    <row r="387" spans="4:7">
      <c r="D387" t="s">
        <v>1000</v>
      </c>
      <c r="E387" t="s">
        <v>1001</v>
      </c>
      <c r="F387" t="s">
        <v>1002</v>
      </c>
      <c r="G387" t="s">
        <v>999</v>
      </c>
    </row>
    <row r="388" spans="4:7">
      <c r="D388" t="s">
        <v>1003</v>
      </c>
      <c r="E388" t="s">
        <v>1004</v>
      </c>
      <c r="F388" t="s">
        <v>1005</v>
      </c>
      <c r="G388" t="s">
        <v>999</v>
      </c>
    </row>
    <row r="389" spans="4:7">
      <c r="D389" t="s">
        <v>1006</v>
      </c>
      <c r="E389" t="s">
        <v>1007</v>
      </c>
      <c r="F389" t="s">
        <v>1008</v>
      </c>
      <c r="G389" t="s">
        <v>999</v>
      </c>
    </row>
    <row r="390" spans="4:7">
      <c r="D390" t="s">
        <v>1009</v>
      </c>
      <c r="E390" t="s">
        <v>1010</v>
      </c>
      <c r="F390" t="s">
        <v>1011</v>
      </c>
      <c r="G390" t="s">
        <v>999</v>
      </c>
    </row>
    <row r="391" spans="4:7">
      <c r="D391" t="s">
        <v>1012</v>
      </c>
      <c r="E391" t="s">
        <v>1013</v>
      </c>
      <c r="F391" t="s">
        <v>1014</v>
      </c>
      <c r="G391" t="s">
        <v>999</v>
      </c>
    </row>
    <row r="392" spans="4:7">
      <c r="D392" t="s">
        <v>996</v>
      </c>
      <c r="E392" t="s">
        <v>997</v>
      </c>
      <c r="F392" t="s">
        <v>998</v>
      </c>
      <c r="G392" t="s">
        <v>999</v>
      </c>
    </row>
    <row r="393" spans="4:7">
      <c r="D393" t="s">
        <v>1000</v>
      </c>
      <c r="E393" t="s">
        <v>1001</v>
      </c>
      <c r="F393" t="s">
        <v>1002</v>
      </c>
      <c r="G393" t="s">
        <v>999</v>
      </c>
    </row>
    <row r="394" spans="4:7">
      <c r="D394" t="s">
        <v>1003</v>
      </c>
      <c r="E394" t="s">
        <v>1004</v>
      </c>
      <c r="F394" t="s">
        <v>1005</v>
      </c>
      <c r="G394" t="s">
        <v>999</v>
      </c>
    </row>
    <row r="395" spans="4:7">
      <c r="D395" t="s">
        <v>1006</v>
      </c>
      <c r="E395" t="s">
        <v>1007</v>
      </c>
      <c r="F395" t="s">
        <v>1008</v>
      </c>
      <c r="G395" t="s">
        <v>999</v>
      </c>
    </row>
    <row r="396" spans="4:7">
      <c r="D396" t="s">
        <v>1009</v>
      </c>
      <c r="E396" t="s">
        <v>1010</v>
      </c>
      <c r="F396" t="s">
        <v>1011</v>
      </c>
      <c r="G396" t="s">
        <v>999</v>
      </c>
    </row>
    <row r="397" spans="4:7">
      <c r="D397" t="s">
        <v>1012</v>
      </c>
      <c r="E397" t="s">
        <v>1013</v>
      </c>
      <c r="F397" t="s">
        <v>1014</v>
      </c>
      <c r="G397" t="s">
        <v>999</v>
      </c>
    </row>
    <row r="398" spans="4:7">
      <c r="D398" t="s">
        <v>996</v>
      </c>
      <c r="E398" t="s">
        <v>997</v>
      </c>
      <c r="F398" t="s">
        <v>998</v>
      </c>
      <c r="G398" t="s">
        <v>999</v>
      </c>
    </row>
    <row r="399" spans="4:7">
      <c r="D399" t="s">
        <v>1000</v>
      </c>
      <c r="E399" t="s">
        <v>1001</v>
      </c>
      <c r="F399" t="s">
        <v>1002</v>
      </c>
      <c r="G399" t="s">
        <v>999</v>
      </c>
    </row>
    <row r="400" spans="4:7">
      <c r="D400" t="s">
        <v>1003</v>
      </c>
      <c r="E400" t="s">
        <v>1004</v>
      </c>
      <c r="F400" t="s">
        <v>1005</v>
      </c>
      <c r="G400" t="s">
        <v>999</v>
      </c>
    </row>
    <row r="401" spans="4:7">
      <c r="D401" t="s">
        <v>1006</v>
      </c>
      <c r="E401" t="s">
        <v>1007</v>
      </c>
      <c r="F401" t="s">
        <v>1008</v>
      </c>
      <c r="G401" t="s">
        <v>999</v>
      </c>
    </row>
    <row r="402" spans="4:7">
      <c r="D402" t="s">
        <v>1009</v>
      </c>
      <c r="E402" t="s">
        <v>1010</v>
      </c>
      <c r="F402" t="s">
        <v>1011</v>
      </c>
      <c r="G402" t="s">
        <v>999</v>
      </c>
    </row>
    <row r="403" spans="4:7">
      <c r="D403" t="s">
        <v>1012</v>
      </c>
      <c r="E403" t="s">
        <v>1013</v>
      </c>
      <c r="F403" t="s">
        <v>1014</v>
      </c>
      <c r="G403" t="s">
        <v>999</v>
      </c>
    </row>
    <row r="404" spans="4:7">
      <c r="D404" t="s">
        <v>996</v>
      </c>
      <c r="E404" t="s">
        <v>997</v>
      </c>
      <c r="F404" t="s">
        <v>998</v>
      </c>
      <c r="G404" t="s">
        <v>999</v>
      </c>
    </row>
    <row r="405" spans="4:7">
      <c r="D405" t="s">
        <v>1000</v>
      </c>
      <c r="E405" t="s">
        <v>1001</v>
      </c>
      <c r="F405" t="s">
        <v>1002</v>
      </c>
      <c r="G405" t="s">
        <v>999</v>
      </c>
    </row>
    <row r="406" spans="4:7">
      <c r="D406" t="s">
        <v>1003</v>
      </c>
      <c r="E406" t="s">
        <v>1004</v>
      </c>
      <c r="F406" t="s">
        <v>1005</v>
      </c>
      <c r="G406" t="s">
        <v>999</v>
      </c>
    </row>
    <row r="407" spans="4:7">
      <c r="D407" t="s">
        <v>1006</v>
      </c>
      <c r="E407" t="s">
        <v>1007</v>
      </c>
      <c r="F407" t="s">
        <v>1008</v>
      </c>
      <c r="G407" t="s">
        <v>999</v>
      </c>
    </row>
    <row r="408" spans="4:7">
      <c r="D408" t="s">
        <v>1009</v>
      </c>
      <c r="E408" t="s">
        <v>1010</v>
      </c>
      <c r="F408" t="s">
        <v>1011</v>
      </c>
      <c r="G408" t="s">
        <v>999</v>
      </c>
    </row>
    <row r="409" spans="4:7">
      <c r="D409" t="s">
        <v>1012</v>
      </c>
      <c r="E409" t="s">
        <v>1013</v>
      </c>
      <c r="F409" t="s">
        <v>1014</v>
      </c>
      <c r="G409" t="s">
        <v>999</v>
      </c>
    </row>
    <row r="410" spans="4:7">
      <c r="D410" t="s">
        <v>996</v>
      </c>
      <c r="E410" t="s">
        <v>997</v>
      </c>
      <c r="F410" t="s">
        <v>998</v>
      </c>
      <c r="G410" t="s">
        <v>999</v>
      </c>
    </row>
    <row r="411" spans="4:7">
      <c r="D411" t="s">
        <v>1000</v>
      </c>
      <c r="E411" t="s">
        <v>1001</v>
      </c>
      <c r="F411" t="s">
        <v>1002</v>
      </c>
      <c r="G411" t="s">
        <v>999</v>
      </c>
    </row>
    <row r="412" spans="4:7">
      <c r="D412" t="s">
        <v>1003</v>
      </c>
      <c r="E412" t="s">
        <v>1004</v>
      </c>
      <c r="F412" t="s">
        <v>1005</v>
      </c>
      <c r="G412" t="s">
        <v>999</v>
      </c>
    </row>
    <row r="413" spans="4:7">
      <c r="D413" t="s">
        <v>1006</v>
      </c>
      <c r="E413" t="s">
        <v>1007</v>
      </c>
      <c r="F413" t="s">
        <v>1008</v>
      </c>
      <c r="G413" t="s">
        <v>999</v>
      </c>
    </row>
    <row r="414" spans="4:7">
      <c r="D414" t="s">
        <v>1009</v>
      </c>
      <c r="E414" t="s">
        <v>1010</v>
      </c>
      <c r="F414" t="s">
        <v>1011</v>
      </c>
      <c r="G414" t="s">
        <v>999</v>
      </c>
    </row>
    <row r="415" spans="4:7">
      <c r="D415" t="s">
        <v>1012</v>
      </c>
      <c r="E415" t="s">
        <v>1013</v>
      </c>
      <c r="F415" t="s">
        <v>1014</v>
      </c>
      <c r="G415" t="s">
        <v>999</v>
      </c>
    </row>
    <row r="416" spans="4:7">
      <c r="D416" t="s">
        <v>996</v>
      </c>
      <c r="E416" t="s">
        <v>997</v>
      </c>
      <c r="F416" t="s">
        <v>998</v>
      </c>
      <c r="G416" t="s">
        <v>999</v>
      </c>
    </row>
    <row r="417" spans="4:7">
      <c r="D417" t="s">
        <v>1000</v>
      </c>
      <c r="E417" t="s">
        <v>1001</v>
      </c>
      <c r="F417" t="s">
        <v>1002</v>
      </c>
      <c r="G417" t="s">
        <v>999</v>
      </c>
    </row>
    <row r="418" spans="4:7">
      <c r="D418" t="s">
        <v>1003</v>
      </c>
      <c r="E418" t="s">
        <v>1004</v>
      </c>
      <c r="F418" t="s">
        <v>1005</v>
      </c>
      <c r="G418" t="s">
        <v>999</v>
      </c>
    </row>
    <row r="419" spans="4:7">
      <c r="D419" t="s">
        <v>1006</v>
      </c>
      <c r="E419" t="s">
        <v>1007</v>
      </c>
      <c r="F419" t="s">
        <v>1008</v>
      </c>
      <c r="G419" t="s">
        <v>999</v>
      </c>
    </row>
    <row r="420" spans="4:7">
      <c r="D420" t="s">
        <v>1009</v>
      </c>
      <c r="E420" t="s">
        <v>1010</v>
      </c>
      <c r="F420" t="s">
        <v>1011</v>
      </c>
      <c r="G420" t="s">
        <v>999</v>
      </c>
    </row>
    <row r="421" spans="4:7">
      <c r="D421" t="s">
        <v>1012</v>
      </c>
      <c r="E421" t="s">
        <v>1013</v>
      </c>
      <c r="F421" t="s">
        <v>1014</v>
      </c>
      <c r="G421" t="s">
        <v>999</v>
      </c>
    </row>
    <row r="422" spans="4:7">
      <c r="D422" t="s">
        <v>996</v>
      </c>
      <c r="E422" t="s">
        <v>997</v>
      </c>
      <c r="F422" t="s">
        <v>998</v>
      </c>
      <c r="G422" t="s">
        <v>999</v>
      </c>
    </row>
    <row r="423" spans="4:7">
      <c r="D423" t="s">
        <v>1000</v>
      </c>
      <c r="E423" t="s">
        <v>1001</v>
      </c>
      <c r="F423" t="s">
        <v>1002</v>
      </c>
      <c r="G423" t="s">
        <v>999</v>
      </c>
    </row>
    <row r="424" spans="4:7">
      <c r="D424" t="s">
        <v>1003</v>
      </c>
      <c r="E424" t="s">
        <v>1004</v>
      </c>
      <c r="F424" t="s">
        <v>1005</v>
      </c>
      <c r="G424" t="s">
        <v>999</v>
      </c>
    </row>
    <row r="425" spans="4:7">
      <c r="D425" t="s">
        <v>1006</v>
      </c>
      <c r="E425" t="s">
        <v>1007</v>
      </c>
      <c r="F425" t="s">
        <v>1008</v>
      </c>
      <c r="G425" t="s">
        <v>999</v>
      </c>
    </row>
    <row r="426" spans="4:7">
      <c r="D426" t="s">
        <v>1009</v>
      </c>
      <c r="E426" t="s">
        <v>1010</v>
      </c>
      <c r="F426" t="s">
        <v>1011</v>
      </c>
      <c r="G426" t="s">
        <v>999</v>
      </c>
    </row>
    <row r="427" spans="4:7">
      <c r="D427" t="s">
        <v>1012</v>
      </c>
      <c r="E427" t="s">
        <v>1013</v>
      </c>
      <c r="F427" t="s">
        <v>1014</v>
      </c>
      <c r="G427" t="s">
        <v>999</v>
      </c>
    </row>
    <row r="428" spans="4:7">
      <c r="D428" t="s">
        <v>996</v>
      </c>
      <c r="E428" t="s">
        <v>997</v>
      </c>
      <c r="F428" t="s">
        <v>998</v>
      </c>
      <c r="G428" t="s">
        <v>999</v>
      </c>
    </row>
    <row r="429" spans="4:7">
      <c r="D429" t="s">
        <v>1000</v>
      </c>
      <c r="E429" t="s">
        <v>1001</v>
      </c>
      <c r="F429" t="s">
        <v>1002</v>
      </c>
      <c r="G429" t="s">
        <v>999</v>
      </c>
    </row>
    <row r="430" spans="4:7">
      <c r="D430" t="s">
        <v>1003</v>
      </c>
      <c r="E430" t="s">
        <v>1004</v>
      </c>
      <c r="F430" t="s">
        <v>1005</v>
      </c>
      <c r="G430" t="s">
        <v>999</v>
      </c>
    </row>
    <row r="431" spans="4:7">
      <c r="D431" t="s">
        <v>1006</v>
      </c>
      <c r="E431" t="s">
        <v>1007</v>
      </c>
      <c r="F431" t="s">
        <v>1008</v>
      </c>
      <c r="G431" t="s">
        <v>999</v>
      </c>
    </row>
    <row r="432" spans="4:7">
      <c r="D432" t="s">
        <v>1009</v>
      </c>
      <c r="E432" t="s">
        <v>1010</v>
      </c>
      <c r="F432" t="s">
        <v>1011</v>
      </c>
      <c r="G432" t="s">
        <v>999</v>
      </c>
    </row>
    <row r="433" spans="4:7">
      <c r="D433" t="s">
        <v>1012</v>
      </c>
      <c r="E433" t="s">
        <v>1013</v>
      </c>
      <c r="F433" t="s">
        <v>1014</v>
      </c>
      <c r="G433" t="s">
        <v>999</v>
      </c>
    </row>
    <row r="434" spans="4:7">
      <c r="D434" t="s">
        <v>996</v>
      </c>
      <c r="E434" t="s">
        <v>997</v>
      </c>
      <c r="F434" t="s">
        <v>998</v>
      </c>
      <c r="G434" t="s">
        <v>999</v>
      </c>
    </row>
    <row r="435" spans="4:7">
      <c r="D435" t="s">
        <v>1000</v>
      </c>
      <c r="E435" t="s">
        <v>1001</v>
      </c>
      <c r="F435" t="s">
        <v>1002</v>
      </c>
      <c r="G435" t="s">
        <v>999</v>
      </c>
    </row>
    <row r="436" spans="4:7">
      <c r="D436" t="s">
        <v>1003</v>
      </c>
      <c r="E436" t="s">
        <v>1004</v>
      </c>
      <c r="F436" t="s">
        <v>1005</v>
      </c>
      <c r="G436" t="s">
        <v>999</v>
      </c>
    </row>
    <row r="437" spans="4:7">
      <c r="D437" t="s">
        <v>1006</v>
      </c>
      <c r="E437" t="s">
        <v>1007</v>
      </c>
      <c r="F437" t="s">
        <v>1008</v>
      </c>
      <c r="G437" t="s">
        <v>999</v>
      </c>
    </row>
    <row r="438" spans="4:7">
      <c r="D438" t="s">
        <v>1009</v>
      </c>
      <c r="E438" t="s">
        <v>1010</v>
      </c>
      <c r="F438" t="s">
        <v>1011</v>
      </c>
      <c r="G438" t="s">
        <v>999</v>
      </c>
    </row>
    <row r="439" spans="4:7">
      <c r="D439" t="s">
        <v>1012</v>
      </c>
      <c r="E439" t="s">
        <v>1013</v>
      </c>
      <c r="F439" t="s">
        <v>1014</v>
      </c>
      <c r="G439" t="s">
        <v>999</v>
      </c>
    </row>
    <row r="440" spans="4:7">
      <c r="D440" t="s">
        <v>996</v>
      </c>
      <c r="E440" t="s">
        <v>997</v>
      </c>
      <c r="F440" t="s">
        <v>998</v>
      </c>
      <c r="G440" t="s">
        <v>999</v>
      </c>
    </row>
    <row r="441" spans="4:7">
      <c r="D441" t="s">
        <v>1000</v>
      </c>
      <c r="E441" t="s">
        <v>1001</v>
      </c>
      <c r="F441" t="s">
        <v>1002</v>
      </c>
      <c r="G441" t="s">
        <v>999</v>
      </c>
    </row>
    <row r="442" spans="4:7">
      <c r="D442" t="s">
        <v>1003</v>
      </c>
      <c r="E442" t="s">
        <v>1004</v>
      </c>
      <c r="F442" t="s">
        <v>1005</v>
      </c>
      <c r="G442" t="s">
        <v>999</v>
      </c>
    </row>
    <row r="443" spans="4:7">
      <c r="D443" t="s">
        <v>1006</v>
      </c>
      <c r="E443" t="s">
        <v>1007</v>
      </c>
      <c r="F443" t="s">
        <v>1008</v>
      </c>
      <c r="G443" t="s">
        <v>999</v>
      </c>
    </row>
    <row r="444" spans="4:7">
      <c r="D444" t="s">
        <v>1009</v>
      </c>
      <c r="E444" t="s">
        <v>1010</v>
      </c>
      <c r="F444" t="s">
        <v>1011</v>
      </c>
      <c r="G444" t="s">
        <v>999</v>
      </c>
    </row>
    <row r="445" spans="4:7">
      <c r="D445" t="s">
        <v>1012</v>
      </c>
      <c r="E445" t="s">
        <v>1013</v>
      </c>
      <c r="F445" t="s">
        <v>1014</v>
      </c>
      <c r="G445" t="s">
        <v>999</v>
      </c>
    </row>
    <row r="446" spans="4:7">
      <c r="D446" t="s">
        <v>996</v>
      </c>
      <c r="E446" t="s">
        <v>997</v>
      </c>
      <c r="F446" t="s">
        <v>998</v>
      </c>
      <c r="G446" t="s">
        <v>999</v>
      </c>
    </row>
    <row r="447" spans="4:7">
      <c r="D447" t="s">
        <v>1000</v>
      </c>
      <c r="E447" t="s">
        <v>1001</v>
      </c>
      <c r="F447" t="s">
        <v>1002</v>
      </c>
      <c r="G447" t="s">
        <v>999</v>
      </c>
    </row>
    <row r="448" spans="4:7">
      <c r="D448" t="s">
        <v>1003</v>
      </c>
      <c r="E448" t="s">
        <v>1004</v>
      </c>
      <c r="F448" t="s">
        <v>1005</v>
      </c>
      <c r="G448" t="s">
        <v>999</v>
      </c>
    </row>
    <row r="449" spans="4:7">
      <c r="D449" t="s">
        <v>1006</v>
      </c>
      <c r="E449" t="s">
        <v>1007</v>
      </c>
      <c r="F449" t="s">
        <v>1008</v>
      </c>
      <c r="G449" t="s">
        <v>999</v>
      </c>
    </row>
    <row r="450" spans="4:7">
      <c r="D450" t="s">
        <v>1009</v>
      </c>
      <c r="E450" t="s">
        <v>1010</v>
      </c>
      <c r="F450" t="s">
        <v>1011</v>
      </c>
      <c r="G450" t="s">
        <v>999</v>
      </c>
    </row>
    <row r="451" spans="4:7">
      <c r="D451" t="s">
        <v>1012</v>
      </c>
      <c r="E451" t="s">
        <v>1013</v>
      </c>
      <c r="F451" t="s">
        <v>1014</v>
      </c>
      <c r="G451" t="s">
        <v>999</v>
      </c>
    </row>
    <row r="452" spans="4:7">
      <c r="D452" t="s">
        <v>996</v>
      </c>
      <c r="E452" t="s">
        <v>997</v>
      </c>
      <c r="F452" t="s">
        <v>998</v>
      </c>
      <c r="G452" t="s">
        <v>999</v>
      </c>
    </row>
    <row r="453" spans="4:7">
      <c r="D453" t="s">
        <v>1000</v>
      </c>
      <c r="E453" t="s">
        <v>1001</v>
      </c>
      <c r="F453" t="s">
        <v>1002</v>
      </c>
      <c r="G453" t="s">
        <v>999</v>
      </c>
    </row>
    <row r="454" spans="4:7">
      <c r="D454" t="s">
        <v>1003</v>
      </c>
      <c r="E454" t="s">
        <v>1004</v>
      </c>
      <c r="F454" t="s">
        <v>1005</v>
      </c>
      <c r="G454" t="s">
        <v>999</v>
      </c>
    </row>
    <row r="455" spans="4:7">
      <c r="D455" t="s">
        <v>1006</v>
      </c>
      <c r="E455" t="s">
        <v>1007</v>
      </c>
      <c r="F455" t="s">
        <v>1008</v>
      </c>
      <c r="G455" t="s">
        <v>999</v>
      </c>
    </row>
    <row r="456" spans="4:7">
      <c r="D456" t="s">
        <v>1009</v>
      </c>
      <c r="E456" t="s">
        <v>1010</v>
      </c>
      <c r="F456" t="s">
        <v>1011</v>
      </c>
      <c r="G456" t="s">
        <v>999</v>
      </c>
    </row>
    <row r="457" spans="4:7">
      <c r="D457" t="s">
        <v>1012</v>
      </c>
      <c r="E457" t="s">
        <v>1013</v>
      </c>
      <c r="F457" t="s">
        <v>1014</v>
      </c>
      <c r="G457" t="s">
        <v>999</v>
      </c>
    </row>
    <row r="458" spans="4:7">
      <c r="D458" t="s">
        <v>996</v>
      </c>
      <c r="E458" t="s">
        <v>997</v>
      </c>
      <c r="F458" t="s">
        <v>998</v>
      </c>
      <c r="G458" t="s">
        <v>999</v>
      </c>
    </row>
    <row r="459" spans="4:7">
      <c r="D459" t="s">
        <v>1000</v>
      </c>
      <c r="E459" t="s">
        <v>1001</v>
      </c>
      <c r="F459" t="s">
        <v>1002</v>
      </c>
      <c r="G459" t="s">
        <v>999</v>
      </c>
    </row>
    <row r="460" spans="4:7">
      <c r="D460" t="s">
        <v>1003</v>
      </c>
      <c r="E460" t="s">
        <v>1004</v>
      </c>
      <c r="F460" t="s">
        <v>1005</v>
      </c>
      <c r="G460" t="s">
        <v>999</v>
      </c>
    </row>
    <row r="461" spans="4:7">
      <c r="D461" t="s">
        <v>1006</v>
      </c>
      <c r="E461" t="s">
        <v>1007</v>
      </c>
      <c r="F461" t="s">
        <v>1008</v>
      </c>
      <c r="G461" t="s">
        <v>999</v>
      </c>
    </row>
    <row r="462" spans="4:7">
      <c r="D462" t="s">
        <v>1009</v>
      </c>
      <c r="E462" t="s">
        <v>1010</v>
      </c>
      <c r="F462" t="s">
        <v>1011</v>
      </c>
      <c r="G462" t="s">
        <v>999</v>
      </c>
    </row>
    <row r="463" spans="4:7">
      <c r="D463" t="s">
        <v>1012</v>
      </c>
      <c r="E463" t="s">
        <v>1013</v>
      </c>
      <c r="F463" t="s">
        <v>1014</v>
      </c>
      <c r="G463" t="s">
        <v>999</v>
      </c>
    </row>
    <row r="464" spans="4:7">
      <c r="D464" t="s">
        <v>996</v>
      </c>
      <c r="E464" t="s">
        <v>997</v>
      </c>
      <c r="F464" t="s">
        <v>998</v>
      </c>
      <c r="G464" t="s">
        <v>999</v>
      </c>
    </row>
    <row r="465" spans="4:7">
      <c r="D465" t="s">
        <v>1000</v>
      </c>
      <c r="E465" t="s">
        <v>1001</v>
      </c>
      <c r="F465" t="s">
        <v>1002</v>
      </c>
      <c r="G465" t="s">
        <v>999</v>
      </c>
    </row>
    <row r="466" spans="4:7">
      <c r="D466" t="s">
        <v>1003</v>
      </c>
      <c r="E466" t="s">
        <v>1004</v>
      </c>
      <c r="F466" t="s">
        <v>1005</v>
      </c>
      <c r="G466" t="s">
        <v>999</v>
      </c>
    </row>
    <row r="467" spans="4:7">
      <c r="D467" t="s">
        <v>1006</v>
      </c>
      <c r="E467" t="s">
        <v>1007</v>
      </c>
      <c r="F467" t="s">
        <v>1008</v>
      </c>
      <c r="G467" t="s">
        <v>999</v>
      </c>
    </row>
    <row r="468" spans="4:7">
      <c r="D468" t="s">
        <v>1009</v>
      </c>
      <c r="E468" t="s">
        <v>1010</v>
      </c>
      <c r="F468" t="s">
        <v>1011</v>
      </c>
      <c r="G468" t="s">
        <v>999</v>
      </c>
    </row>
    <row r="469" spans="4:7">
      <c r="D469" t="s">
        <v>1012</v>
      </c>
      <c r="E469" t="s">
        <v>1013</v>
      </c>
      <c r="F469" t="s">
        <v>1014</v>
      </c>
      <c r="G469" t="s">
        <v>999</v>
      </c>
    </row>
    <row r="470" spans="4:7">
      <c r="D470" t="s">
        <v>996</v>
      </c>
      <c r="E470" t="s">
        <v>997</v>
      </c>
      <c r="F470" t="s">
        <v>998</v>
      </c>
      <c r="G470" t="s">
        <v>999</v>
      </c>
    </row>
    <row r="471" spans="4:7">
      <c r="D471" t="s">
        <v>1000</v>
      </c>
      <c r="E471" t="s">
        <v>1001</v>
      </c>
      <c r="F471" t="s">
        <v>1002</v>
      </c>
      <c r="G471" t="s">
        <v>999</v>
      </c>
    </row>
    <row r="472" spans="4:7">
      <c r="D472" t="s">
        <v>1003</v>
      </c>
      <c r="E472" t="s">
        <v>1004</v>
      </c>
      <c r="F472" t="s">
        <v>1005</v>
      </c>
      <c r="G472" t="s">
        <v>999</v>
      </c>
    </row>
    <row r="473" spans="4:7">
      <c r="D473" t="s">
        <v>1006</v>
      </c>
      <c r="E473" t="s">
        <v>1007</v>
      </c>
      <c r="F473" t="s">
        <v>1008</v>
      </c>
      <c r="G473" t="s">
        <v>999</v>
      </c>
    </row>
    <row r="474" spans="4:7">
      <c r="D474" t="s">
        <v>1009</v>
      </c>
      <c r="E474" t="s">
        <v>1010</v>
      </c>
      <c r="F474" t="s">
        <v>1011</v>
      </c>
      <c r="G474" t="s">
        <v>999</v>
      </c>
    </row>
    <row r="475" spans="4:7">
      <c r="D475" t="s">
        <v>1012</v>
      </c>
      <c r="E475" t="s">
        <v>1013</v>
      </c>
      <c r="F475" t="s">
        <v>1014</v>
      </c>
      <c r="G475" t="s">
        <v>999</v>
      </c>
    </row>
    <row r="476" spans="4:7">
      <c r="D476" t="s">
        <v>996</v>
      </c>
      <c r="E476" t="s">
        <v>997</v>
      </c>
      <c r="F476" t="s">
        <v>998</v>
      </c>
      <c r="G476" t="s">
        <v>999</v>
      </c>
    </row>
    <row r="477" spans="4:7">
      <c r="D477" t="s">
        <v>1000</v>
      </c>
      <c r="E477" t="s">
        <v>1001</v>
      </c>
      <c r="F477" t="s">
        <v>1002</v>
      </c>
      <c r="G477" t="s">
        <v>999</v>
      </c>
    </row>
    <row r="478" spans="4:7">
      <c r="D478" t="s">
        <v>1003</v>
      </c>
      <c r="E478" t="s">
        <v>1004</v>
      </c>
      <c r="F478" t="s">
        <v>1005</v>
      </c>
      <c r="G478" t="s">
        <v>999</v>
      </c>
    </row>
    <row r="479" spans="4:7">
      <c r="D479" t="s">
        <v>1006</v>
      </c>
      <c r="E479" t="s">
        <v>1007</v>
      </c>
      <c r="F479" t="s">
        <v>1008</v>
      </c>
      <c r="G479" t="s">
        <v>999</v>
      </c>
    </row>
    <row r="480" spans="4:7">
      <c r="D480" t="s">
        <v>1009</v>
      </c>
      <c r="E480" t="s">
        <v>1010</v>
      </c>
      <c r="F480" t="s">
        <v>1011</v>
      </c>
      <c r="G480" t="s">
        <v>999</v>
      </c>
    </row>
    <row r="481" spans="4:7">
      <c r="D481" t="s">
        <v>1012</v>
      </c>
      <c r="E481" t="s">
        <v>1013</v>
      </c>
      <c r="F481" t="s">
        <v>1014</v>
      </c>
      <c r="G481" t="s">
        <v>999</v>
      </c>
    </row>
    <row r="482" spans="4:7">
      <c r="D482" t="s">
        <v>996</v>
      </c>
      <c r="E482" t="s">
        <v>997</v>
      </c>
      <c r="F482" t="s">
        <v>998</v>
      </c>
      <c r="G482" t="s">
        <v>999</v>
      </c>
    </row>
    <row r="483" spans="4:7">
      <c r="D483" t="s">
        <v>1000</v>
      </c>
      <c r="E483" t="s">
        <v>1001</v>
      </c>
      <c r="F483" t="s">
        <v>1002</v>
      </c>
      <c r="G483" t="s">
        <v>999</v>
      </c>
    </row>
    <row r="484" spans="4:7">
      <c r="D484" t="s">
        <v>1003</v>
      </c>
      <c r="E484" t="s">
        <v>1004</v>
      </c>
      <c r="F484" t="s">
        <v>1005</v>
      </c>
      <c r="G484" t="s">
        <v>999</v>
      </c>
    </row>
    <row r="485" spans="4:7">
      <c r="D485" t="s">
        <v>1006</v>
      </c>
      <c r="E485" t="s">
        <v>1007</v>
      </c>
      <c r="F485" t="s">
        <v>1008</v>
      </c>
      <c r="G485" t="s">
        <v>999</v>
      </c>
    </row>
    <row r="486" spans="4:7">
      <c r="D486" t="s">
        <v>1009</v>
      </c>
      <c r="E486" t="s">
        <v>1010</v>
      </c>
      <c r="F486" t="s">
        <v>1011</v>
      </c>
      <c r="G486" t="s">
        <v>999</v>
      </c>
    </row>
    <row r="487" spans="4:7">
      <c r="D487" t="s">
        <v>1012</v>
      </c>
      <c r="E487" t="s">
        <v>1013</v>
      </c>
      <c r="F487" t="s">
        <v>1014</v>
      </c>
      <c r="G487" t="s">
        <v>999</v>
      </c>
    </row>
    <row r="488" spans="4:7">
      <c r="D488" t="s">
        <v>996</v>
      </c>
      <c r="E488" t="s">
        <v>997</v>
      </c>
      <c r="F488" t="s">
        <v>998</v>
      </c>
      <c r="G488" t="s">
        <v>999</v>
      </c>
    </row>
    <row r="489" spans="4:7">
      <c r="D489" t="s">
        <v>1000</v>
      </c>
      <c r="E489" t="s">
        <v>1001</v>
      </c>
      <c r="F489" t="s">
        <v>1002</v>
      </c>
      <c r="G489" t="s">
        <v>999</v>
      </c>
    </row>
    <row r="490" spans="4:7">
      <c r="D490" t="s">
        <v>1003</v>
      </c>
      <c r="E490" t="s">
        <v>1004</v>
      </c>
      <c r="F490" t="s">
        <v>1005</v>
      </c>
      <c r="G490" t="s">
        <v>999</v>
      </c>
    </row>
    <row r="491" spans="4:7">
      <c r="D491" t="s">
        <v>1006</v>
      </c>
      <c r="E491" t="s">
        <v>1007</v>
      </c>
      <c r="F491" t="s">
        <v>1008</v>
      </c>
      <c r="G491" t="s">
        <v>999</v>
      </c>
    </row>
    <row r="492" spans="4:7">
      <c r="D492" t="s">
        <v>1009</v>
      </c>
      <c r="E492" t="s">
        <v>1010</v>
      </c>
      <c r="F492" t="s">
        <v>1011</v>
      </c>
      <c r="G492" t="s">
        <v>999</v>
      </c>
    </row>
    <row r="493" spans="4:7">
      <c r="D493" t="s">
        <v>1012</v>
      </c>
      <c r="E493" t="s">
        <v>1013</v>
      </c>
      <c r="F493" t="s">
        <v>1014</v>
      </c>
      <c r="G493" t="s">
        <v>999</v>
      </c>
    </row>
    <row r="494" spans="4:7">
      <c r="D494" t="s">
        <v>996</v>
      </c>
      <c r="E494" t="s">
        <v>997</v>
      </c>
      <c r="F494" t="s">
        <v>998</v>
      </c>
      <c r="G494" t="s">
        <v>999</v>
      </c>
    </row>
    <row r="495" spans="4:7">
      <c r="D495" t="s">
        <v>1000</v>
      </c>
      <c r="E495" t="s">
        <v>1001</v>
      </c>
      <c r="F495" t="s">
        <v>1002</v>
      </c>
      <c r="G495" t="s">
        <v>999</v>
      </c>
    </row>
    <row r="496" spans="4:7">
      <c r="D496" t="s">
        <v>1003</v>
      </c>
      <c r="E496" t="s">
        <v>1004</v>
      </c>
      <c r="F496" t="s">
        <v>1005</v>
      </c>
      <c r="G496" t="s">
        <v>999</v>
      </c>
    </row>
    <row r="497" spans="4:7">
      <c r="D497" t="s">
        <v>1006</v>
      </c>
      <c r="E497" t="s">
        <v>1007</v>
      </c>
      <c r="F497" t="s">
        <v>1008</v>
      </c>
      <c r="G497" t="s">
        <v>999</v>
      </c>
    </row>
    <row r="498" spans="4:7">
      <c r="D498" t="s">
        <v>1009</v>
      </c>
      <c r="E498" t="s">
        <v>1010</v>
      </c>
      <c r="F498" t="s">
        <v>1011</v>
      </c>
      <c r="G498" t="s">
        <v>999</v>
      </c>
    </row>
    <row r="499" spans="4:7">
      <c r="D499" t="s">
        <v>1012</v>
      </c>
      <c r="E499" t="s">
        <v>1013</v>
      </c>
      <c r="F499" t="s">
        <v>1014</v>
      </c>
      <c r="G499" t="s">
        <v>999</v>
      </c>
    </row>
    <row r="500" spans="4:7">
      <c r="D500" t="s">
        <v>996</v>
      </c>
      <c r="E500" t="s">
        <v>997</v>
      </c>
      <c r="F500" t="s">
        <v>998</v>
      </c>
      <c r="G500" t="s">
        <v>999</v>
      </c>
    </row>
    <row r="501" spans="4:7">
      <c r="D501" t="s">
        <v>1000</v>
      </c>
      <c r="E501" t="s">
        <v>1001</v>
      </c>
      <c r="F501" t="s">
        <v>1002</v>
      </c>
      <c r="G501" t="s">
        <v>999</v>
      </c>
    </row>
    <row r="502" spans="4:7">
      <c r="D502" t="s">
        <v>1003</v>
      </c>
      <c r="E502" t="s">
        <v>1004</v>
      </c>
      <c r="F502" t="s">
        <v>1005</v>
      </c>
      <c r="G502" t="s">
        <v>999</v>
      </c>
    </row>
    <row r="503" spans="4:7">
      <c r="D503" t="s">
        <v>1006</v>
      </c>
      <c r="E503" t="s">
        <v>1007</v>
      </c>
      <c r="F503" t="s">
        <v>1008</v>
      </c>
      <c r="G503" t="s">
        <v>999</v>
      </c>
    </row>
    <row r="504" spans="4:7">
      <c r="D504" t="s">
        <v>1009</v>
      </c>
      <c r="E504" t="s">
        <v>1010</v>
      </c>
      <c r="F504" t="s">
        <v>1011</v>
      </c>
      <c r="G504" t="s">
        <v>999</v>
      </c>
    </row>
    <row r="505" spans="4:7">
      <c r="D505" t="s">
        <v>1012</v>
      </c>
      <c r="E505" t="s">
        <v>1013</v>
      </c>
      <c r="F505" t="s">
        <v>1014</v>
      </c>
      <c r="G505" t="s">
        <v>999</v>
      </c>
    </row>
    <row r="506" spans="4:7">
      <c r="D506" t="s">
        <v>996</v>
      </c>
      <c r="E506" t="s">
        <v>997</v>
      </c>
      <c r="F506" t="s">
        <v>998</v>
      </c>
      <c r="G506" t="s">
        <v>999</v>
      </c>
    </row>
    <row r="507" spans="4:7">
      <c r="D507" t="s">
        <v>1000</v>
      </c>
      <c r="E507" t="s">
        <v>1001</v>
      </c>
      <c r="F507" t="s">
        <v>1002</v>
      </c>
      <c r="G507" t="s">
        <v>999</v>
      </c>
    </row>
    <row r="508" spans="4:7">
      <c r="D508" t="s">
        <v>1003</v>
      </c>
      <c r="E508" t="s">
        <v>1004</v>
      </c>
      <c r="F508" t="s">
        <v>1005</v>
      </c>
      <c r="G508" t="s">
        <v>999</v>
      </c>
    </row>
    <row r="509" spans="4:7">
      <c r="D509" t="s">
        <v>1006</v>
      </c>
      <c r="E509" t="s">
        <v>1007</v>
      </c>
      <c r="F509" t="s">
        <v>1008</v>
      </c>
      <c r="G509" t="s">
        <v>999</v>
      </c>
    </row>
    <row r="510" spans="4:7">
      <c r="D510" t="s">
        <v>1009</v>
      </c>
      <c r="E510" t="s">
        <v>1010</v>
      </c>
      <c r="F510" t="s">
        <v>1011</v>
      </c>
      <c r="G510" t="s">
        <v>999</v>
      </c>
    </row>
    <row r="511" spans="4:7">
      <c r="D511" t="s">
        <v>1012</v>
      </c>
      <c r="E511" t="s">
        <v>1013</v>
      </c>
      <c r="F511" t="s">
        <v>1014</v>
      </c>
      <c r="G511" t="s">
        <v>999</v>
      </c>
    </row>
    <row r="512" spans="4:7">
      <c r="D512" t="s">
        <v>996</v>
      </c>
      <c r="E512" t="s">
        <v>997</v>
      </c>
      <c r="F512" t="s">
        <v>998</v>
      </c>
      <c r="G512" t="s">
        <v>999</v>
      </c>
    </row>
    <row r="513" spans="4:7">
      <c r="D513" t="s">
        <v>1000</v>
      </c>
      <c r="E513" t="s">
        <v>1001</v>
      </c>
      <c r="F513" t="s">
        <v>1002</v>
      </c>
      <c r="G513" t="s">
        <v>999</v>
      </c>
    </row>
    <row r="514" spans="4:7">
      <c r="D514" t="s">
        <v>1003</v>
      </c>
      <c r="E514" t="s">
        <v>1004</v>
      </c>
      <c r="F514" t="s">
        <v>1005</v>
      </c>
      <c r="G514" t="s">
        <v>999</v>
      </c>
    </row>
    <row r="515" spans="4:7">
      <c r="D515" t="s">
        <v>1006</v>
      </c>
      <c r="E515" t="s">
        <v>1007</v>
      </c>
      <c r="F515" t="s">
        <v>1008</v>
      </c>
      <c r="G515" t="s">
        <v>999</v>
      </c>
    </row>
    <row r="516" spans="4:7">
      <c r="D516" t="s">
        <v>1009</v>
      </c>
      <c r="E516" t="s">
        <v>1010</v>
      </c>
      <c r="F516" t="s">
        <v>1011</v>
      </c>
      <c r="G516" t="s">
        <v>999</v>
      </c>
    </row>
    <row r="517" spans="4:7">
      <c r="D517" t="s">
        <v>1012</v>
      </c>
      <c r="E517" t="s">
        <v>1013</v>
      </c>
      <c r="F517" t="s">
        <v>1014</v>
      </c>
      <c r="G517" t="s">
        <v>999</v>
      </c>
    </row>
    <row r="518" spans="4:7">
      <c r="D518" t="s">
        <v>996</v>
      </c>
      <c r="E518" t="s">
        <v>997</v>
      </c>
      <c r="F518" t="s">
        <v>998</v>
      </c>
      <c r="G518" t="s">
        <v>999</v>
      </c>
    </row>
    <row r="519" spans="4:7">
      <c r="D519" t="s">
        <v>1000</v>
      </c>
      <c r="E519" t="s">
        <v>1001</v>
      </c>
      <c r="F519" t="s">
        <v>1002</v>
      </c>
      <c r="G519" t="s">
        <v>999</v>
      </c>
    </row>
    <row r="520" spans="4:7">
      <c r="D520" t="s">
        <v>1003</v>
      </c>
      <c r="E520" t="s">
        <v>1004</v>
      </c>
      <c r="F520" t="s">
        <v>1005</v>
      </c>
      <c r="G520" t="s">
        <v>999</v>
      </c>
    </row>
    <row r="521" spans="4:7">
      <c r="D521" t="s">
        <v>1006</v>
      </c>
      <c r="E521" t="s">
        <v>1007</v>
      </c>
      <c r="F521" t="s">
        <v>1008</v>
      </c>
      <c r="G521" t="s">
        <v>999</v>
      </c>
    </row>
    <row r="522" spans="4:7">
      <c r="D522" t="s">
        <v>1009</v>
      </c>
      <c r="E522" t="s">
        <v>1010</v>
      </c>
      <c r="F522" t="s">
        <v>1011</v>
      </c>
      <c r="G522" t="s">
        <v>999</v>
      </c>
    </row>
    <row r="523" spans="4:7">
      <c r="D523" t="s">
        <v>1012</v>
      </c>
      <c r="E523" t="s">
        <v>1013</v>
      </c>
      <c r="F523" t="s">
        <v>1014</v>
      </c>
      <c r="G523" t="s">
        <v>999</v>
      </c>
    </row>
    <row r="524" spans="4:7">
      <c r="D524" t="s">
        <v>996</v>
      </c>
      <c r="E524" t="s">
        <v>997</v>
      </c>
      <c r="F524" t="s">
        <v>998</v>
      </c>
      <c r="G524" t="s">
        <v>999</v>
      </c>
    </row>
    <row r="525" spans="4:7">
      <c r="D525" t="s">
        <v>1000</v>
      </c>
      <c r="E525" t="s">
        <v>1001</v>
      </c>
      <c r="F525" t="s">
        <v>1002</v>
      </c>
      <c r="G525" t="s">
        <v>999</v>
      </c>
    </row>
    <row r="526" spans="4:7">
      <c r="D526" t="s">
        <v>1003</v>
      </c>
      <c r="E526" t="s">
        <v>1004</v>
      </c>
      <c r="F526" t="s">
        <v>1005</v>
      </c>
      <c r="G526" t="s">
        <v>999</v>
      </c>
    </row>
    <row r="527" spans="4:7">
      <c r="D527" t="s">
        <v>1006</v>
      </c>
      <c r="E527" t="s">
        <v>1007</v>
      </c>
      <c r="F527" t="s">
        <v>1008</v>
      </c>
      <c r="G527" t="s">
        <v>999</v>
      </c>
    </row>
    <row r="528" spans="4:7">
      <c r="D528" t="s">
        <v>1009</v>
      </c>
      <c r="E528" t="s">
        <v>1010</v>
      </c>
      <c r="F528" t="s">
        <v>1011</v>
      </c>
      <c r="G528" t="s">
        <v>999</v>
      </c>
    </row>
    <row r="529" spans="4:7">
      <c r="D529" t="s">
        <v>1012</v>
      </c>
      <c r="E529" t="s">
        <v>1013</v>
      </c>
      <c r="F529" t="s">
        <v>1014</v>
      </c>
      <c r="G529" t="s">
        <v>999</v>
      </c>
    </row>
    <row r="530" spans="4:7">
      <c r="D530" t="s">
        <v>996</v>
      </c>
      <c r="E530" t="s">
        <v>997</v>
      </c>
      <c r="F530" t="s">
        <v>998</v>
      </c>
      <c r="G530" t="s">
        <v>999</v>
      </c>
    </row>
    <row r="531" spans="4:7">
      <c r="D531" t="s">
        <v>1000</v>
      </c>
      <c r="E531" t="s">
        <v>1001</v>
      </c>
      <c r="F531" t="s">
        <v>1002</v>
      </c>
      <c r="G531" t="s">
        <v>999</v>
      </c>
    </row>
    <row r="532" spans="4:7">
      <c r="D532" t="s">
        <v>1003</v>
      </c>
      <c r="E532" t="s">
        <v>1004</v>
      </c>
      <c r="F532" t="s">
        <v>1005</v>
      </c>
      <c r="G532" t="s">
        <v>999</v>
      </c>
    </row>
    <row r="533" spans="4:7">
      <c r="D533" t="s">
        <v>1006</v>
      </c>
      <c r="E533" t="s">
        <v>1007</v>
      </c>
      <c r="F533" t="s">
        <v>1008</v>
      </c>
      <c r="G533" t="s">
        <v>999</v>
      </c>
    </row>
    <row r="534" spans="4:7">
      <c r="D534" t="s">
        <v>1009</v>
      </c>
      <c r="E534" t="s">
        <v>1010</v>
      </c>
      <c r="F534" t="s">
        <v>1011</v>
      </c>
      <c r="G534" t="s">
        <v>999</v>
      </c>
    </row>
    <row r="535" spans="4:7">
      <c r="D535" t="s">
        <v>1012</v>
      </c>
      <c r="E535" t="s">
        <v>1013</v>
      </c>
      <c r="F535" t="s">
        <v>1014</v>
      </c>
      <c r="G535" t="s">
        <v>999</v>
      </c>
    </row>
    <row r="536" spans="4:7">
      <c r="D536" t="s">
        <v>996</v>
      </c>
      <c r="E536" t="s">
        <v>997</v>
      </c>
      <c r="F536" t="s">
        <v>998</v>
      </c>
      <c r="G536" t="s">
        <v>999</v>
      </c>
    </row>
    <row r="537" spans="4:7">
      <c r="D537" t="s">
        <v>1000</v>
      </c>
      <c r="E537" t="s">
        <v>1001</v>
      </c>
      <c r="F537" t="s">
        <v>1002</v>
      </c>
      <c r="G537" t="s">
        <v>999</v>
      </c>
    </row>
    <row r="538" spans="4:7">
      <c r="D538" t="s">
        <v>1003</v>
      </c>
      <c r="E538" t="s">
        <v>1004</v>
      </c>
      <c r="F538" t="s">
        <v>1005</v>
      </c>
      <c r="G538" t="s">
        <v>999</v>
      </c>
    </row>
    <row r="539" spans="4:7">
      <c r="D539" t="s">
        <v>1006</v>
      </c>
      <c r="E539" t="s">
        <v>1007</v>
      </c>
      <c r="F539" t="s">
        <v>1008</v>
      </c>
      <c r="G539" t="s">
        <v>999</v>
      </c>
    </row>
    <row r="540" spans="4:7">
      <c r="D540" t="s">
        <v>1009</v>
      </c>
      <c r="E540" t="s">
        <v>1010</v>
      </c>
      <c r="F540" t="s">
        <v>1011</v>
      </c>
      <c r="G540" t="s">
        <v>999</v>
      </c>
    </row>
    <row r="541" spans="4:7">
      <c r="D541" t="s">
        <v>1012</v>
      </c>
      <c r="E541" t="s">
        <v>1013</v>
      </c>
      <c r="F541" t="s">
        <v>1014</v>
      </c>
      <c r="G541" t="s">
        <v>999</v>
      </c>
    </row>
    <row r="542" spans="4:7">
      <c r="D542" t="s">
        <v>996</v>
      </c>
      <c r="E542" t="s">
        <v>997</v>
      </c>
      <c r="F542" t="s">
        <v>998</v>
      </c>
      <c r="G542" t="s">
        <v>999</v>
      </c>
    </row>
    <row r="543" spans="4:7">
      <c r="D543" t="s">
        <v>1000</v>
      </c>
      <c r="E543" t="s">
        <v>1001</v>
      </c>
      <c r="F543" t="s">
        <v>1002</v>
      </c>
      <c r="G543" t="s">
        <v>999</v>
      </c>
    </row>
    <row r="544" spans="4:7">
      <c r="D544" t="s">
        <v>1003</v>
      </c>
      <c r="E544" t="s">
        <v>1004</v>
      </c>
      <c r="F544" t="s">
        <v>1005</v>
      </c>
      <c r="G544" t="s">
        <v>999</v>
      </c>
    </row>
    <row r="545" spans="4:7">
      <c r="D545" t="s">
        <v>1006</v>
      </c>
      <c r="E545" t="s">
        <v>1007</v>
      </c>
      <c r="F545" t="s">
        <v>1008</v>
      </c>
      <c r="G545" t="s">
        <v>999</v>
      </c>
    </row>
    <row r="546" spans="4:7">
      <c r="D546" t="s">
        <v>1009</v>
      </c>
      <c r="E546" t="s">
        <v>1010</v>
      </c>
      <c r="F546" t="s">
        <v>1011</v>
      </c>
      <c r="G546" t="s">
        <v>999</v>
      </c>
    </row>
    <row r="547" spans="4:7">
      <c r="D547" t="s">
        <v>1012</v>
      </c>
      <c r="E547" t="s">
        <v>1013</v>
      </c>
      <c r="F547" t="s">
        <v>1014</v>
      </c>
      <c r="G547" t="s">
        <v>999</v>
      </c>
    </row>
    <row r="548" spans="4:7">
      <c r="D548" t="s">
        <v>996</v>
      </c>
      <c r="E548" t="s">
        <v>997</v>
      </c>
      <c r="F548" t="s">
        <v>998</v>
      </c>
      <c r="G548" t="s">
        <v>999</v>
      </c>
    </row>
    <row r="549" spans="4:7">
      <c r="D549" t="s">
        <v>1000</v>
      </c>
      <c r="E549" t="s">
        <v>1001</v>
      </c>
      <c r="F549" t="s">
        <v>1002</v>
      </c>
      <c r="G549" t="s">
        <v>999</v>
      </c>
    </row>
    <row r="550" spans="4:7">
      <c r="D550" t="s">
        <v>1003</v>
      </c>
      <c r="E550" t="s">
        <v>1004</v>
      </c>
      <c r="F550" t="s">
        <v>1005</v>
      </c>
      <c r="G550" t="s">
        <v>999</v>
      </c>
    </row>
    <row r="551" spans="4:7">
      <c r="D551" t="s">
        <v>1006</v>
      </c>
      <c r="E551" t="s">
        <v>1007</v>
      </c>
      <c r="F551" t="s">
        <v>1008</v>
      </c>
      <c r="G551" t="s">
        <v>999</v>
      </c>
    </row>
    <row r="552" spans="4:7">
      <c r="D552" t="s">
        <v>1009</v>
      </c>
      <c r="E552" t="s">
        <v>1010</v>
      </c>
      <c r="F552" t="s">
        <v>1011</v>
      </c>
      <c r="G552" t="s">
        <v>999</v>
      </c>
    </row>
    <row r="553" spans="4:7">
      <c r="D553" t="s">
        <v>1012</v>
      </c>
      <c r="E553" t="s">
        <v>1013</v>
      </c>
      <c r="F553" t="s">
        <v>1014</v>
      </c>
      <c r="G553" t="s">
        <v>999</v>
      </c>
    </row>
    <row r="554" spans="4:7">
      <c r="D554" t="s">
        <v>996</v>
      </c>
      <c r="E554" t="s">
        <v>997</v>
      </c>
      <c r="F554" t="s">
        <v>998</v>
      </c>
      <c r="G554" t="s">
        <v>999</v>
      </c>
    </row>
    <row r="555" spans="4:7">
      <c r="D555" t="s">
        <v>1000</v>
      </c>
      <c r="E555" t="s">
        <v>1001</v>
      </c>
      <c r="F555" t="s">
        <v>1002</v>
      </c>
      <c r="G555" t="s">
        <v>999</v>
      </c>
    </row>
    <row r="556" spans="4:7">
      <c r="D556" t="s">
        <v>1003</v>
      </c>
      <c r="E556" t="s">
        <v>1004</v>
      </c>
      <c r="F556" t="s">
        <v>1005</v>
      </c>
      <c r="G556" t="s">
        <v>999</v>
      </c>
    </row>
    <row r="557" spans="4:7">
      <c r="D557" t="s">
        <v>1006</v>
      </c>
      <c r="E557" t="s">
        <v>1007</v>
      </c>
      <c r="F557" t="s">
        <v>1008</v>
      </c>
      <c r="G557" t="s">
        <v>999</v>
      </c>
    </row>
    <row r="558" spans="4:7">
      <c r="D558" t="s">
        <v>1009</v>
      </c>
      <c r="E558" t="s">
        <v>1010</v>
      </c>
      <c r="F558" t="s">
        <v>1011</v>
      </c>
      <c r="G558" t="s">
        <v>999</v>
      </c>
    </row>
    <row r="559" spans="4:7">
      <c r="D559" t="s">
        <v>1012</v>
      </c>
      <c r="E559" t="s">
        <v>1013</v>
      </c>
      <c r="F559" t="s">
        <v>1014</v>
      </c>
      <c r="G559" t="s">
        <v>999</v>
      </c>
    </row>
    <row r="560" spans="4:7">
      <c r="D560" t="s">
        <v>996</v>
      </c>
      <c r="E560" t="s">
        <v>997</v>
      </c>
      <c r="F560" t="s">
        <v>998</v>
      </c>
      <c r="G560" t="s">
        <v>999</v>
      </c>
    </row>
    <row r="561" spans="4:7">
      <c r="D561" t="s">
        <v>1000</v>
      </c>
      <c r="E561" t="s">
        <v>1001</v>
      </c>
      <c r="F561" t="s">
        <v>1002</v>
      </c>
      <c r="G561" t="s">
        <v>999</v>
      </c>
    </row>
    <row r="562" spans="4:7">
      <c r="D562" t="s">
        <v>1003</v>
      </c>
      <c r="E562" t="s">
        <v>1004</v>
      </c>
      <c r="F562" t="s">
        <v>1005</v>
      </c>
      <c r="G562" t="s">
        <v>999</v>
      </c>
    </row>
    <row r="563" spans="4:7">
      <c r="D563" t="s">
        <v>1006</v>
      </c>
      <c r="E563" t="s">
        <v>1007</v>
      </c>
      <c r="F563" t="s">
        <v>1008</v>
      </c>
      <c r="G563" t="s">
        <v>999</v>
      </c>
    </row>
    <row r="564" spans="4:7">
      <c r="D564" t="s">
        <v>1009</v>
      </c>
      <c r="E564" t="s">
        <v>1010</v>
      </c>
      <c r="F564" t="s">
        <v>1011</v>
      </c>
      <c r="G564" t="s">
        <v>999</v>
      </c>
    </row>
    <row r="565" spans="4:7">
      <c r="D565" t="s">
        <v>1012</v>
      </c>
      <c r="E565" t="s">
        <v>1013</v>
      </c>
      <c r="F565" t="s">
        <v>1014</v>
      </c>
      <c r="G565" t="s">
        <v>999</v>
      </c>
    </row>
    <row r="566" spans="4:7">
      <c r="D566" t="s">
        <v>996</v>
      </c>
      <c r="E566" t="s">
        <v>997</v>
      </c>
      <c r="F566" t="s">
        <v>998</v>
      </c>
      <c r="G566" t="s">
        <v>999</v>
      </c>
    </row>
    <row r="567" spans="4:7">
      <c r="D567" t="s">
        <v>1000</v>
      </c>
      <c r="E567" t="s">
        <v>1001</v>
      </c>
      <c r="F567" t="s">
        <v>1002</v>
      </c>
      <c r="G567" t="s">
        <v>999</v>
      </c>
    </row>
    <row r="568" spans="4:7">
      <c r="D568" t="s">
        <v>1003</v>
      </c>
      <c r="E568" t="s">
        <v>1004</v>
      </c>
      <c r="F568" t="s">
        <v>1005</v>
      </c>
      <c r="G568" t="s">
        <v>999</v>
      </c>
    </row>
    <row r="569" spans="4:7">
      <c r="D569" t="s">
        <v>1006</v>
      </c>
      <c r="E569" t="s">
        <v>1007</v>
      </c>
      <c r="F569" t="s">
        <v>1008</v>
      </c>
      <c r="G569" t="s">
        <v>999</v>
      </c>
    </row>
    <row r="570" spans="4:7">
      <c r="D570" t="s">
        <v>1009</v>
      </c>
      <c r="E570" t="s">
        <v>1010</v>
      </c>
      <c r="F570" t="s">
        <v>1011</v>
      </c>
      <c r="G570" t="s">
        <v>999</v>
      </c>
    </row>
    <row r="571" spans="4:7">
      <c r="D571" t="s">
        <v>1012</v>
      </c>
      <c r="E571" t="s">
        <v>1013</v>
      </c>
      <c r="F571" t="s">
        <v>1014</v>
      </c>
      <c r="G571" t="s">
        <v>999</v>
      </c>
    </row>
    <row r="572" spans="4:7">
      <c r="D572" t="s">
        <v>996</v>
      </c>
      <c r="E572" t="s">
        <v>997</v>
      </c>
      <c r="F572" t="s">
        <v>998</v>
      </c>
      <c r="G572" t="s">
        <v>999</v>
      </c>
    </row>
    <row r="573" spans="4:7">
      <c r="D573" t="s">
        <v>1000</v>
      </c>
      <c r="E573" t="s">
        <v>1001</v>
      </c>
      <c r="F573" t="s">
        <v>1002</v>
      </c>
      <c r="G573" t="s">
        <v>999</v>
      </c>
    </row>
    <row r="574" spans="4:7">
      <c r="D574" t="s">
        <v>1003</v>
      </c>
      <c r="E574" t="s">
        <v>1004</v>
      </c>
      <c r="F574" t="s">
        <v>1005</v>
      </c>
      <c r="G574" t="s">
        <v>999</v>
      </c>
    </row>
    <row r="575" spans="4:7">
      <c r="D575" t="s">
        <v>1006</v>
      </c>
      <c r="E575" t="s">
        <v>1007</v>
      </c>
      <c r="F575" t="s">
        <v>1008</v>
      </c>
      <c r="G575" t="s">
        <v>999</v>
      </c>
    </row>
    <row r="576" spans="4:7">
      <c r="D576" t="s">
        <v>1009</v>
      </c>
      <c r="E576" t="s">
        <v>1010</v>
      </c>
      <c r="F576" t="s">
        <v>1011</v>
      </c>
      <c r="G576" t="s">
        <v>999</v>
      </c>
    </row>
    <row r="577" spans="4:7">
      <c r="D577" t="s">
        <v>1012</v>
      </c>
      <c r="E577" t="s">
        <v>1013</v>
      </c>
      <c r="F577" t="s">
        <v>1014</v>
      </c>
      <c r="G577" t="s">
        <v>999</v>
      </c>
    </row>
    <row r="578" spans="4:7">
      <c r="D578" t="s">
        <v>996</v>
      </c>
      <c r="E578" t="s">
        <v>997</v>
      </c>
      <c r="F578" t="s">
        <v>998</v>
      </c>
      <c r="G578" t="s">
        <v>999</v>
      </c>
    </row>
    <row r="579" spans="4:7">
      <c r="D579" t="s">
        <v>1000</v>
      </c>
      <c r="E579" t="s">
        <v>1001</v>
      </c>
      <c r="F579" t="s">
        <v>1002</v>
      </c>
      <c r="G579" t="s">
        <v>999</v>
      </c>
    </row>
    <row r="580" spans="4:7">
      <c r="D580" t="s">
        <v>1003</v>
      </c>
      <c r="E580" t="s">
        <v>1004</v>
      </c>
      <c r="F580" t="s">
        <v>1005</v>
      </c>
      <c r="G580" t="s">
        <v>999</v>
      </c>
    </row>
    <row r="581" spans="4:7">
      <c r="D581" t="s">
        <v>1006</v>
      </c>
      <c r="E581" t="s">
        <v>1007</v>
      </c>
      <c r="F581" t="s">
        <v>1008</v>
      </c>
      <c r="G581" t="s">
        <v>999</v>
      </c>
    </row>
    <row r="582" spans="4:7">
      <c r="D582" t="s">
        <v>1009</v>
      </c>
      <c r="E582" t="s">
        <v>1010</v>
      </c>
      <c r="F582" t="s">
        <v>1011</v>
      </c>
      <c r="G582" t="s">
        <v>999</v>
      </c>
    </row>
    <row r="583" spans="4:7">
      <c r="D583" t="s">
        <v>1012</v>
      </c>
      <c r="E583" t="s">
        <v>1013</v>
      </c>
      <c r="F583" t="s">
        <v>1014</v>
      </c>
      <c r="G583" t="s">
        <v>999</v>
      </c>
    </row>
    <row r="584" spans="4:7">
      <c r="D584" t="s">
        <v>996</v>
      </c>
      <c r="E584" t="s">
        <v>997</v>
      </c>
      <c r="F584" t="s">
        <v>998</v>
      </c>
      <c r="G584" t="s">
        <v>999</v>
      </c>
    </row>
    <row r="585" spans="4:7">
      <c r="D585" t="s">
        <v>1000</v>
      </c>
      <c r="E585" t="s">
        <v>1001</v>
      </c>
      <c r="F585" t="s">
        <v>1002</v>
      </c>
      <c r="G585" t="s">
        <v>999</v>
      </c>
    </row>
    <row r="586" spans="4:7">
      <c r="D586" t="s">
        <v>1003</v>
      </c>
      <c r="E586" t="s">
        <v>1004</v>
      </c>
      <c r="F586" t="s">
        <v>1005</v>
      </c>
      <c r="G586" t="s">
        <v>999</v>
      </c>
    </row>
    <row r="587" spans="4:7">
      <c r="D587" t="s">
        <v>1006</v>
      </c>
      <c r="E587" t="s">
        <v>1007</v>
      </c>
      <c r="F587" t="s">
        <v>1008</v>
      </c>
      <c r="G587" t="s">
        <v>999</v>
      </c>
    </row>
    <row r="588" spans="4:7">
      <c r="D588" t="s">
        <v>1009</v>
      </c>
      <c r="E588" t="s">
        <v>1010</v>
      </c>
      <c r="F588" t="s">
        <v>1011</v>
      </c>
      <c r="G588" t="s">
        <v>999</v>
      </c>
    </row>
    <row r="589" spans="4:7">
      <c r="D589" t="s">
        <v>1012</v>
      </c>
      <c r="E589" t="s">
        <v>1013</v>
      </c>
      <c r="F589" t="s">
        <v>1014</v>
      </c>
      <c r="G589" t="s">
        <v>999</v>
      </c>
    </row>
    <row r="590" spans="4:7">
      <c r="D590" t="s">
        <v>996</v>
      </c>
      <c r="E590" t="s">
        <v>997</v>
      </c>
      <c r="F590" t="s">
        <v>998</v>
      </c>
      <c r="G590" t="s">
        <v>999</v>
      </c>
    </row>
    <row r="591" spans="4:7">
      <c r="D591" t="s">
        <v>1000</v>
      </c>
      <c r="E591" t="s">
        <v>1001</v>
      </c>
      <c r="F591" t="s">
        <v>1002</v>
      </c>
      <c r="G591" t="s">
        <v>999</v>
      </c>
    </row>
    <row r="592" spans="4:7">
      <c r="D592" t="s">
        <v>1003</v>
      </c>
      <c r="E592" t="s">
        <v>1004</v>
      </c>
      <c r="F592" t="s">
        <v>1005</v>
      </c>
      <c r="G592" t="s">
        <v>999</v>
      </c>
    </row>
    <row r="593" spans="4:7">
      <c r="D593" t="s">
        <v>1006</v>
      </c>
      <c r="E593" t="s">
        <v>1007</v>
      </c>
      <c r="F593" t="s">
        <v>1008</v>
      </c>
      <c r="G593" t="s">
        <v>999</v>
      </c>
    </row>
    <row r="594" spans="4:7">
      <c r="D594" t="s">
        <v>1009</v>
      </c>
      <c r="E594" t="s">
        <v>1010</v>
      </c>
      <c r="F594" t="s">
        <v>1011</v>
      </c>
      <c r="G594" t="s">
        <v>999</v>
      </c>
    </row>
    <row r="595" spans="4:7">
      <c r="D595" t="s">
        <v>1012</v>
      </c>
      <c r="E595" t="s">
        <v>1013</v>
      </c>
      <c r="F595" t="s">
        <v>1014</v>
      </c>
      <c r="G595" t="s">
        <v>999</v>
      </c>
    </row>
    <row r="596" spans="4:7">
      <c r="D596" t="s">
        <v>996</v>
      </c>
      <c r="E596" t="s">
        <v>997</v>
      </c>
      <c r="F596" t="s">
        <v>998</v>
      </c>
      <c r="G596" t="s">
        <v>999</v>
      </c>
    </row>
    <row r="597" spans="4:7">
      <c r="D597" t="s">
        <v>1000</v>
      </c>
      <c r="E597" t="s">
        <v>1001</v>
      </c>
      <c r="F597" t="s">
        <v>1002</v>
      </c>
      <c r="G597" t="s">
        <v>999</v>
      </c>
    </row>
    <row r="598" spans="4:7">
      <c r="D598" t="s">
        <v>1003</v>
      </c>
      <c r="E598" t="s">
        <v>1004</v>
      </c>
      <c r="F598" t="s">
        <v>1005</v>
      </c>
      <c r="G598" t="s">
        <v>999</v>
      </c>
    </row>
    <row r="599" spans="4:7">
      <c r="D599" t="s">
        <v>1006</v>
      </c>
      <c r="E599" t="s">
        <v>1007</v>
      </c>
      <c r="F599" t="s">
        <v>1008</v>
      </c>
      <c r="G599" t="s">
        <v>999</v>
      </c>
    </row>
    <row r="600" spans="4:7">
      <c r="D600" t="s">
        <v>1009</v>
      </c>
      <c r="E600" t="s">
        <v>1010</v>
      </c>
      <c r="F600" t="s">
        <v>1011</v>
      </c>
      <c r="G600" t="s">
        <v>999</v>
      </c>
    </row>
    <row r="601" spans="4:7">
      <c r="D601" t="s">
        <v>1012</v>
      </c>
      <c r="E601" t="s">
        <v>1013</v>
      </c>
      <c r="F601" t="s">
        <v>1014</v>
      </c>
      <c r="G601" t="s">
        <v>999</v>
      </c>
    </row>
  </sheetData>
  <dataValidations count="1">
    <dataValidation type="list" sqref="G2:G601" xr:uid="{00000000-0002-0000-0400-000000000000}">
      <formula1>"Not Started,In Progress,Passed,At Risk,Failed/Scope Review"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workbookViewId="0"/>
  </sheetViews>
  <sheetFormatPr defaultRowHeight="14.25"/>
  <cols>
    <col min="1" max="1" width="22" customWidth="1"/>
    <col min="2" max="2" width="52" customWidth="1"/>
    <col min="3" max="3" width="12" customWidth="1"/>
    <col min="4" max="4" width="28" customWidth="1"/>
    <col min="6" max="6" width="24" customWidth="1"/>
    <col min="7" max="8" width="14" customWidth="1"/>
    <col min="9" max="9" width="16" customWidth="1"/>
    <col min="10" max="10" width="38" customWidth="1"/>
  </cols>
  <sheetData>
    <row r="1" spans="1:10">
      <c r="A1" s="8" t="s">
        <v>1015</v>
      </c>
      <c r="B1" s="9"/>
      <c r="C1" s="9"/>
      <c r="D1" s="9"/>
      <c r="E1" s="4"/>
      <c r="F1" s="8" t="s">
        <v>1016</v>
      </c>
      <c r="G1" s="9"/>
      <c r="H1" s="9"/>
      <c r="I1" s="9"/>
      <c r="J1" s="9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5">
      <c r="A3" s="3" t="s">
        <v>1017</v>
      </c>
      <c r="B3" s="3" t="s">
        <v>993</v>
      </c>
      <c r="C3" s="3" t="s">
        <v>1018</v>
      </c>
      <c r="D3" s="3" t="s">
        <v>946</v>
      </c>
      <c r="E3" s="4"/>
      <c r="F3" s="3" t="s">
        <v>1019</v>
      </c>
      <c r="G3" s="3" t="s">
        <v>1020</v>
      </c>
      <c r="H3" s="3" t="s">
        <v>1021</v>
      </c>
      <c r="I3" s="3" t="s">
        <v>1022</v>
      </c>
      <c r="J3" s="3" t="s">
        <v>1023</v>
      </c>
    </row>
    <row r="4" spans="1:10" ht="28.5">
      <c r="A4" s="4" t="s">
        <v>1024</v>
      </c>
      <c r="B4" s="4" t="s">
        <v>1025</v>
      </c>
      <c r="C4" s="4" t="s">
        <v>1026</v>
      </c>
      <c r="D4" s="4"/>
      <c r="E4" s="4"/>
      <c r="F4" s="4" t="s">
        <v>1027</v>
      </c>
      <c r="G4" s="4" t="s">
        <v>1028</v>
      </c>
      <c r="H4" s="4" t="s">
        <v>1029</v>
      </c>
      <c r="I4" s="4" t="s">
        <v>1030</v>
      </c>
      <c r="J4" s="4" t="s">
        <v>1031</v>
      </c>
    </row>
    <row r="5" spans="1:10" ht="28.5">
      <c r="A5" s="4" t="s">
        <v>1032</v>
      </c>
      <c r="B5" s="4" t="s">
        <v>1033</v>
      </c>
      <c r="C5" s="4" t="s">
        <v>1026</v>
      </c>
      <c r="D5" s="4"/>
      <c r="E5" s="4"/>
      <c r="F5" s="4" t="s">
        <v>1034</v>
      </c>
      <c r="G5" s="4" t="s">
        <v>1035</v>
      </c>
      <c r="H5" s="4" t="s">
        <v>1036</v>
      </c>
      <c r="I5" s="4" t="s">
        <v>1030</v>
      </c>
      <c r="J5" s="4" t="s">
        <v>1037</v>
      </c>
    </row>
    <row r="6" spans="1:10" ht="28.5">
      <c r="A6" s="4" t="s">
        <v>1038</v>
      </c>
      <c r="B6" s="4" t="s">
        <v>1039</v>
      </c>
      <c r="C6" s="4" t="s">
        <v>1026</v>
      </c>
      <c r="D6" s="4"/>
      <c r="E6" s="4"/>
      <c r="F6" s="4" t="s">
        <v>1040</v>
      </c>
      <c r="G6" s="4" t="s">
        <v>1035</v>
      </c>
      <c r="H6" s="4" t="s">
        <v>1041</v>
      </c>
      <c r="I6" s="4" t="s">
        <v>1042</v>
      </c>
      <c r="J6" s="4" t="s">
        <v>1043</v>
      </c>
    </row>
    <row r="7" spans="1:10" ht="28.5">
      <c r="A7" s="4" t="s">
        <v>1044</v>
      </c>
      <c r="B7" s="4" t="s">
        <v>1045</v>
      </c>
      <c r="C7" s="4" t="s">
        <v>1026</v>
      </c>
      <c r="D7" s="4"/>
      <c r="E7" s="4"/>
      <c r="F7" s="4" t="s">
        <v>1046</v>
      </c>
      <c r="G7" s="4" t="s">
        <v>1047</v>
      </c>
      <c r="H7" s="4" t="s">
        <v>1048</v>
      </c>
      <c r="I7" s="4" t="s">
        <v>1047</v>
      </c>
      <c r="J7" s="4" t="s">
        <v>1049</v>
      </c>
    </row>
    <row r="8" spans="1:10" ht="28.5">
      <c r="A8" s="4" t="s">
        <v>1050</v>
      </c>
      <c r="B8" s="4" t="s">
        <v>1051</v>
      </c>
      <c r="C8" s="4" t="s">
        <v>1026</v>
      </c>
      <c r="D8" s="4"/>
      <c r="E8" s="4"/>
      <c r="F8" s="4" t="s">
        <v>1052</v>
      </c>
      <c r="G8" s="4" t="s">
        <v>1053</v>
      </c>
      <c r="H8" s="4" t="s">
        <v>1054</v>
      </c>
      <c r="I8" s="4" t="s">
        <v>1055</v>
      </c>
      <c r="J8" s="4" t="s">
        <v>1056</v>
      </c>
    </row>
    <row r="9" spans="1:10">
      <c r="A9" s="4"/>
      <c r="B9" s="4"/>
      <c r="C9" s="4"/>
      <c r="D9" s="4"/>
      <c r="E9" s="4"/>
      <c r="F9" s="4" t="s">
        <v>1057</v>
      </c>
      <c r="G9" s="4" t="s">
        <v>1058</v>
      </c>
      <c r="H9" s="4" t="s">
        <v>1059</v>
      </c>
      <c r="I9" s="4" t="s">
        <v>1060</v>
      </c>
      <c r="J9" s="4" t="s">
        <v>1061</v>
      </c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8" t="s">
        <v>1062</v>
      </c>
      <c r="B11" s="9"/>
      <c r="C11" s="9"/>
      <c r="D11" s="9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5">
      <c r="A13" s="3" t="s">
        <v>1017</v>
      </c>
      <c r="B13" s="3" t="s">
        <v>993</v>
      </c>
      <c r="C13" s="3" t="s">
        <v>1018</v>
      </c>
      <c r="D13" s="3" t="s">
        <v>946</v>
      </c>
      <c r="E13" s="4"/>
      <c r="F13" s="4"/>
      <c r="G13" s="4"/>
      <c r="H13" s="4"/>
      <c r="I13" s="4"/>
      <c r="J13" s="4"/>
    </row>
    <row r="14" spans="1:10" ht="28.5">
      <c r="A14" s="4" t="s">
        <v>1063</v>
      </c>
      <c r="B14" s="4" t="s">
        <v>1064</v>
      </c>
      <c r="C14" s="4" t="s">
        <v>1026</v>
      </c>
      <c r="D14" s="4"/>
      <c r="E14" s="4"/>
      <c r="F14" s="4"/>
      <c r="G14" s="4"/>
      <c r="H14" s="4"/>
      <c r="I14" s="4"/>
      <c r="J14" s="4"/>
    </row>
    <row r="15" spans="1:10">
      <c r="A15" s="4" t="s">
        <v>1065</v>
      </c>
      <c r="B15" s="4" t="s">
        <v>1066</v>
      </c>
      <c r="C15" s="4" t="s">
        <v>1026</v>
      </c>
      <c r="D15" s="4"/>
      <c r="E15" s="4"/>
      <c r="F15" s="4"/>
      <c r="G15" s="4"/>
      <c r="H15" s="4"/>
      <c r="I15" s="4"/>
      <c r="J15" s="4"/>
    </row>
    <row r="16" spans="1:10" ht="28.5">
      <c r="A16" s="4" t="s">
        <v>1067</v>
      </c>
      <c r="B16" s="4" t="s">
        <v>1068</v>
      </c>
      <c r="C16" s="4" t="s">
        <v>1026</v>
      </c>
      <c r="D16" s="4"/>
      <c r="E16" s="4"/>
      <c r="F16" s="4"/>
      <c r="G16" s="4"/>
      <c r="H16" s="4"/>
      <c r="I16" s="4"/>
      <c r="J16" s="4"/>
    </row>
    <row r="17" spans="1:10">
      <c r="A17" s="4" t="s">
        <v>1023</v>
      </c>
      <c r="B17" s="4" t="s">
        <v>1069</v>
      </c>
      <c r="C17" s="4" t="s">
        <v>1026</v>
      </c>
      <c r="D17" s="4"/>
      <c r="E17" s="4"/>
      <c r="F17" s="4"/>
      <c r="G17" s="4"/>
      <c r="H17" s="4"/>
      <c r="I17" s="4"/>
      <c r="J17" s="4"/>
    </row>
    <row r="18" spans="1:10">
      <c r="A18" s="4" t="s">
        <v>1070</v>
      </c>
      <c r="B18" s="4" t="s">
        <v>1071</v>
      </c>
      <c r="C18" s="4" t="s">
        <v>1026</v>
      </c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2" spans="1:10">
      <c r="A22" t="s">
        <v>1072</v>
      </c>
    </row>
  </sheetData>
  <mergeCells count="3">
    <mergeCell ref="F1:J1"/>
    <mergeCell ref="A1:D1"/>
    <mergeCell ref="A11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/>
  </sheetViews>
  <sheetFormatPr defaultRowHeight="14.25"/>
  <cols>
    <col min="1" max="1" width="24" customWidth="1"/>
    <col min="2" max="2" width="16" customWidth="1"/>
    <col min="4" max="4" width="28" customWidth="1"/>
    <col min="5" max="5" width="30" customWidth="1"/>
  </cols>
  <sheetData>
    <row r="1" spans="1:8" ht="18">
      <c r="A1" s="10" t="s">
        <v>1073</v>
      </c>
      <c r="B1" s="9"/>
      <c r="C1" s="9"/>
      <c r="D1" s="9"/>
      <c r="E1" s="9"/>
      <c r="F1" s="9"/>
      <c r="G1" s="9"/>
      <c r="H1" s="9"/>
    </row>
    <row r="3" spans="1:8" ht="15">
      <c r="A3" s="2" t="s">
        <v>1074</v>
      </c>
      <c r="B3" s="2" t="s">
        <v>1075</v>
      </c>
      <c r="D3" s="2" t="s">
        <v>1076</v>
      </c>
      <c r="E3" s="2" t="s">
        <v>14</v>
      </c>
    </row>
    <row r="4" spans="1:8">
      <c r="A4" t="s">
        <v>1077</v>
      </c>
      <c r="B4">
        <f>COUNTA(Students!A2:A101)</f>
        <v>0</v>
      </c>
      <c r="D4" t="s">
        <v>1078</v>
      </c>
      <c r="E4" t="s">
        <v>1079</v>
      </c>
    </row>
    <row r="5" spans="1:8">
      <c r="A5" t="s">
        <v>1080</v>
      </c>
      <c r="B5">
        <f>COUNTIF(Students!J2:J101,"Active")</f>
        <v>0</v>
      </c>
      <c r="D5" t="s">
        <v>1081</v>
      </c>
      <c r="E5" t="s">
        <v>1055</v>
      </c>
    </row>
    <row r="6" spans="1:8">
      <c r="A6" t="s">
        <v>1082</v>
      </c>
      <c r="B6">
        <f>COUNTIF(Students!K2:K101,"Yellow")</f>
        <v>0</v>
      </c>
      <c r="D6" t="s">
        <v>1083</v>
      </c>
      <c r="E6" t="s">
        <v>1084</v>
      </c>
    </row>
    <row r="7" spans="1:8">
      <c r="A7" t="s">
        <v>1085</v>
      </c>
      <c r="B7">
        <f>COUNTIF(Students!K2:K101,"Red")</f>
        <v>0</v>
      </c>
      <c r="D7" t="s">
        <v>1086</v>
      </c>
      <c r="E7" t="s">
        <v>1087</v>
      </c>
    </row>
    <row r="8" spans="1:8">
      <c r="A8" t="s">
        <v>1088</v>
      </c>
      <c r="B8">
        <f>COUNTIF(Students!F2:F101,"R")</f>
        <v>0</v>
      </c>
      <c r="D8" t="s">
        <v>1089</v>
      </c>
      <c r="E8" t="s">
        <v>1055</v>
      </c>
    </row>
    <row r="10" spans="1:8" ht="15">
      <c r="A10" s="13" t="s">
        <v>1090</v>
      </c>
      <c r="B10" s="9"/>
      <c r="C10" s="9"/>
      <c r="D10" s="9"/>
      <c r="E10" s="9"/>
      <c r="F10" s="9"/>
      <c r="G10" s="9"/>
      <c r="H10" s="9"/>
    </row>
    <row r="11" spans="1:8">
      <c r="A11" s="11" t="s">
        <v>1091</v>
      </c>
      <c r="B11" s="9"/>
      <c r="C11" s="9"/>
      <c r="D11" s="9"/>
      <c r="E11" s="9"/>
      <c r="F11" s="9"/>
      <c r="G11" s="9"/>
      <c r="H11" s="9"/>
    </row>
    <row r="12" spans="1:8">
      <c r="A12" s="9"/>
      <c r="B12" s="12"/>
      <c r="C12" s="12"/>
      <c r="D12" s="12"/>
      <c r="E12" s="12"/>
      <c r="F12" s="12"/>
      <c r="G12" s="12"/>
      <c r="H12" s="9"/>
    </row>
    <row r="13" spans="1:8">
      <c r="A13" s="9"/>
      <c r="B13" s="12"/>
      <c r="C13" s="12"/>
      <c r="D13" s="12"/>
      <c r="E13" s="12"/>
      <c r="F13" s="12"/>
      <c r="G13" s="12"/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</sheetData>
  <mergeCells count="3">
    <mergeCell ref="A1:H1"/>
    <mergeCell ref="A11:H14"/>
    <mergeCell ref="A10:H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6" ht="18">
      <c r="A1" s="10" t="s">
        <v>1092</v>
      </c>
      <c r="B1" s="9"/>
      <c r="C1" s="9"/>
      <c r="D1" s="9"/>
      <c r="E1" s="9"/>
      <c r="F1" s="9"/>
    </row>
    <row r="3" spans="1:6" ht="15">
      <c r="A3" s="2" t="s">
        <v>1093</v>
      </c>
      <c r="B3" s="2" t="s">
        <v>1094</v>
      </c>
    </row>
    <row r="4" spans="1:6">
      <c r="A4" t="s">
        <v>1095</v>
      </c>
      <c r="B4" t="s">
        <v>1096</v>
      </c>
    </row>
    <row r="5" spans="1:6">
      <c r="A5" t="s">
        <v>1097</v>
      </c>
      <c r="B5" t="s">
        <v>1098</v>
      </c>
    </row>
    <row r="6" spans="1:6">
      <c r="A6" t="s">
        <v>1099</v>
      </c>
      <c r="B6" t="s">
        <v>1100</v>
      </c>
    </row>
    <row r="7" spans="1:6">
      <c r="A7" t="s">
        <v>1101</v>
      </c>
      <c r="B7" t="s">
        <v>1102</v>
      </c>
    </row>
    <row r="8" spans="1:6">
      <c r="A8" t="s">
        <v>1103</v>
      </c>
      <c r="B8" t="s">
        <v>1104</v>
      </c>
    </row>
    <row r="9" spans="1:6">
      <c r="A9" t="s">
        <v>1105</v>
      </c>
      <c r="B9" t="s">
        <v>1106</v>
      </c>
    </row>
    <row r="10" spans="1:6">
      <c r="A10" t="s">
        <v>1107</v>
      </c>
      <c r="B10" t="s">
        <v>1108</v>
      </c>
    </row>
    <row r="12" spans="1:6">
      <c r="A12" s="14" t="s">
        <v>1109</v>
      </c>
      <c r="B12" s="9"/>
      <c r="C12" s="9"/>
      <c r="D12" s="9"/>
      <c r="E12" s="9"/>
      <c r="F12" s="9"/>
    </row>
    <row r="13" spans="1:6">
      <c r="A13" s="9"/>
      <c r="B13" s="12"/>
      <c r="C13" s="12"/>
      <c r="D13" s="12"/>
      <c r="E13" s="12"/>
      <c r="F13" s="9"/>
    </row>
    <row r="14" spans="1:6">
      <c r="A14" s="9"/>
      <c r="B14" s="12"/>
      <c r="C14" s="12"/>
      <c r="D14" s="12"/>
      <c r="E14" s="12"/>
      <c r="F14" s="9"/>
    </row>
    <row r="15" spans="1:6">
      <c r="A15" s="9"/>
      <c r="B15" s="9"/>
      <c r="C15" s="9"/>
      <c r="D15" s="9"/>
      <c r="E15" s="9"/>
      <c r="F15" s="9"/>
    </row>
    <row r="17" spans="1:1">
      <c r="A17" t="s">
        <v>1110</v>
      </c>
    </row>
  </sheetData>
  <mergeCells count="2">
    <mergeCell ref="A1:F1"/>
    <mergeCell ref="A12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</vt:lpstr>
      <vt:lpstr>Students</vt:lpstr>
      <vt:lpstr>Readiness</vt:lpstr>
      <vt:lpstr>Weekly_Status</vt:lpstr>
      <vt:lpstr>Milestones</vt:lpstr>
      <vt:lpstr>Rubrics</vt:lpstr>
      <vt:lpstr>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Dinh Van Nam</cp:lastModifiedBy>
  <dcterms:created xsi:type="dcterms:W3CDTF">2026-08-23T09:23:19Z</dcterms:created>
  <dcterms:modified xsi:type="dcterms:W3CDTF">2026-08-25T12:31:04Z</dcterms:modified>
</cp:coreProperties>
</file>